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Bootcamp SanberCode\"/>
    </mc:Choice>
  </mc:AlternateContent>
  <xr:revisionPtr revIDLastSave="0" documentId="8_{6FAA9460-8677-42D3-9821-E477874FC89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" sheetId="1" r:id="rId1"/>
  </sheets>
  <definedNames>
    <definedName name="_xlnm._FilterDatabase" localSheetId="0" hidden="1">'Test Case'!$A$5:$N$38</definedName>
    <definedName name="_xlnm.Print_Titles" localSheetId="0">'Test Case'!$5:$5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" i="1" l="1"/>
  <c r="H3" i="1"/>
  <c r="F3" i="1"/>
  <c r="D3" i="1"/>
  <c r="B3" i="1"/>
</calcChain>
</file>

<file path=xl/sharedStrings.xml><?xml version="1.0" encoding="utf-8"?>
<sst xmlns="http://schemas.openxmlformats.org/spreadsheetml/2006/main" count="483" uniqueCount="257">
  <si>
    <t>TEST CASE - TRAVELOKA WEB APPLICATION (REGISTRASI, LOGIN, PENCARIAN TIKET PESAWAT)</t>
  </si>
  <si>
    <t>Total TC:</t>
  </si>
  <si>
    <t>Passed:</t>
  </si>
  <si>
    <t>Failed:</t>
  </si>
  <si>
    <t>Blocked:</t>
  </si>
  <si>
    <t>Not Executed:</t>
  </si>
  <si>
    <t>Scenario ID</t>
  </si>
  <si>
    <t>Test Scenario Name</t>
  </si>
  <si>
    <t>ID Test Case</t>
  </si>
  <si>
    <t>Test Case Name</t>
  </si>
  <si>
    <t>Pre Conditions</t>
  </si>
  <si>
    <t>Kategori</t>
  </si>
  <si>
    <t>Prioritas</t>
  </si>
  <si>
    <t>Data Test</t>
  </si>
  <si>
    <t>Test Steps</t>
  </si>
  <si>
    <t>Expected Results</t>
  </si>
  <si>
    <t>Actual Results</t>
  </si>
  <si>
    <t>Attachments</t>
  </si>
  <si>
    <t>Status</t>
  </si>
  <si>
    <t>Notes</t>
  </si>
  <si>
    <t>TC_Registrasi</t>
  </si>
  <si>
    <t>Pengguna dapat mendaftar akun Traveloka</t>
  </si>
  <si>
    <t>TC-001</t>
  </si>
  <si>
    <t>Daftar dengan email valid yang belum terdaftar</t>
  </si>
  <si>
    <t>Pengguna belum login; website Traveloka terbuka</t>
  </si>
  <si>
    <t>Positive case</t>
  </si>
  <si>
    <t>High</t>
  </si>
  <si>
    <t>Data diterima dan sistem lanjut ke tahap verifikasi akun tanpa pesan error.</t>
  </si>
  <si>
    <t>-</t>
  </si>
  <si>
    <t>TC-002</t>
  </si>
  <si>
    <t>Daftar dengan nomor HP valid yang belum terdaftar</t>
  </si>
  <si>
    <t>1. Klik tombol Daftar
2. Isi nomor HP
3. Klik tombol Lanjutkan</t>
  </si>
  <si>
    <t>Sistem mengirim kode OTP ke nomor HP dan menampilkan kolom input OTP.</t>
  </si>
  <si>
    <t>TC-003</t>
  </si>
  <si>
    <t>Verifikasi akun dengan kode OTP yang benar</t>
  </si>
  <si>
    <t>Proses registrasi sudah sampai tahap input OTP</t>
  </si>
  <si>
    <t>OTP: kode yang diterima tester</t>
  </si>
  <si>
    <t>1. Masukkan kode OTP yang benar
2. Klik Verifikasi</t>
  </si>
  <si>
    <t>Verifikasi berhasil, akun terbentuk, dan pengguna masuk ke akun.</t>
  </si>
  <si>
    <t>TC-004</t>
  </si>
  <si>
    <t>Verifikasi akun dengan kode OTP yang salah</t>
  </si>
  <si>
    <t>Negative case</t>
  </si>
  <si>
    <t>OTP: 000000</t>
  </si>
  <si>
    <t>1. Masukkan kode OTP yang salah
2. Klik Verifikasi</t>
  </si>
  <si>
    <t>Verifikasi ditolak dan muncul pesan kode OTP tidak valid; akun belum terbentuk.</t>
  </si>
  <si>
    <t>TC-005</t>
  </si>
  <si>
    <t>Daftar dengan email yang sudah terdaftar</t>
  </si>
  <si>
    <t>Email: email akun uji yang sudah terdaftar</t>
  </si>
  <si>
    <t>1. Klik tombol Daftar
2. Isi email yang sudah terdaftar
3. Klik tombol Daftar/Lanjutkan</t>
  </si>
  <si>
    <t>TC-006</t>
  </si>
  <si>
    <t>Daftar dengan semua kolom kosong</t>
  </si>
  <si>
    <t>1. Klik tombol Daftar
2. Biarkan semua kolom kosong
3. Klik tombol Daftar/Lanjutkan</t>
  </si>
  <si>
    <t>TC-007</t>
  </si>
  <si>
    <t>Daftar dengan format email tidak valid</t>
  </si>
  <si>
    <t>Medium</t>
  </si>
  <si>
    <t>Email: tester.qa01gmail.com
Password: Qa@12345</t>
  </si>
  <si>
    <t>1. Klik tombol Daftar
2. Isi email tanpa simbol @
3. Isi password
4. Klik tombol Daftar/Lanjutkan</t>
  </si>
  <si>
    <t>TC-008</t>
  </si>
  <si>
    <t>Daftar dengan nomor HP berisi huruf</t>
  </si>
  <si>
    <t>No. HP: 0812abcd5678</t>
  </si>
  <si>
    <t>1. Klik tombol Daftar
2. Isi nomor HP dengan huruf
3. Klik tombol Lanjutkan</t>
  </si>
  <si>
    <t>TC-009</t>
  </si>
  <si>
    <t>Daftar dengan nomor HP terlalu pendek</t>
  </si>
  <si>
    <t>No. HP: 0812</t>
  </si>
  <si>
    <t>1. Klik tombol Daftar
2. Isi nomor HP dengan jumlah digit di bawah batas minimum
3. Klik tombol Lanjutkan</t>
  </si>
  <si>
    <t>TC-010</t>
  </si>
  <si>
    <t>Daftar dengan password tidak memenuhi aturan</t>
  </si>
  <si>
    <t>Pengguna belum login; website Traveloka terbuka; form memiliki kolom password</t>
  </si>
  <si>
    <t>1. Klik tombol Daftar
2. Isi email valid
3. Isi password yang terlalu pendek
4. Klik tombol Daftar/Lanjutkan</t>
  </si>
  <si>
    <t>Password ditolak dan muncul pesan aturan password.</t>
  </si>
  <si>
    <t>TC_Login</t>
  </si>
  <si>
    <t>Pengguna dapat masuk ke akun Traveloka</t>
  </si>
  <si>
    <t>TC-011</t>
  </si>
  <si>
    <t>Login dengan email dan password yang benar</t>
  </si>
  <si>
    <t>Pengguna belum login; akun uji sudah terdaftar</t>
  </si>
  <si>
    <t>TC-012</t>
  </si>
  <si>
    <t>Login dengan nomor HP dan password yang benar</t>
  </si>
  <si>
    <t>Pengguna belum login; akun uji sudah terdaftar dengan nomor HP</t>
  </si>
  <si>
    <t>No. HP: nomor akun uji
Password: password akun uji</t>
  </si>
  <si>
    <t>1. Klik tombol Masuk
2. Isi nomor HP
3. Isi password
4. Klik tombol Masuk</t>
  </si>
  <si>
    <t>Login berhasil dan pengguna masuk ke akun.</t>
  </si>
  <si>
    <t>TC-013</t>
  </si>
  <si>
    <t>Login dengan password yang salah</t>
  </si>
  <si>
    <t>1. Klik tombol Masuk
2. Isi email yang benar
3. Isi password yang salah
4. Klik tombol Masuk</t>
  </si>
  <si>
    <t>TC-014</t>
  </si>
  <si>
    <t>Login dengan password beda huruf besar/kecil</t>
  </si>
  <si>
    <t>1. Klik tombol Masuk
2. Isi email yang benar
3. Isi password dengan huruf besar/kecil berbeda
4. Klik tombol Masuk</t>
  </si>
  <si>
    <t>TC-015</t>
  </si>
  <si>
    <t>Pengguna belum login</t>
  </si>
  <si>
    <t>1. Klik tombol Masuk
2. Isi email yang belum terdaftar
3. Isi password
4. Klik tombol Masuk</t>
  </si>
  <si>
    <t>TC-016</t>
  </si>
  <si>
    <t>Login dengan semua kolom kosong</t>
  </si>
  <si>
    <t>1. Klik tombol Masuk
2. Biarkan semua kolom kosong
3. Klik tombol Masuk</t>
  </si>
  <si>
    <t>TC-017</t>
  </si>
  <si>
    <t>Login dengan password kosong</t>
  </si>
  <si>
    <t>Email: email akun uji
Password: (kosong)</t>
  </si>
  <si>
    <t>1. Klik tombol Masuk
2. Isi email yang benar
3. Kosongkan kolom password
4. Klik tombol Masuk</t>
  </si>
  <si>
    <t>Login tidak diproses dan muncul pesan password wajib diisi.</t>
  </si>
  <si>
    <t>TC-018</t>
  </si>
  <si>
    <t>Login dengan format email tidak valid</t>
  </si>
  <si>
    <t>1. Klik tombol Masuk
2. Isi email tanpa simbol @
3. Isi password
4. Klik tombol Masuk</t>
  </si>
  <si>
    <t>Muncul pesan format email tidak valid dan login tidak diproses.</t>
  </si>
  <si>
    <t>TC-019</t>
  </si>
  <si>
    <t>Sesi login tetap aktif setelah halaman dimuat ulang</t>
  </si>
  <si>
    <t>Pengguna sudah berhasil login</t>
  </si>
  <si>
    <t>Akun uji yang valid</t>
  </si>
  <si>
    <t>1. Login dengan akun valid
2. Muat ulang halaman (F5)</t>
  </si>
  <si>
    <t>Pengguna tetap dalam keadaan login setelah halaman dimuat ulang.</t>
  </si>
  <si>
    <t>TC_PencarianTiket</t>
  </si>
  <si>
    <t>Pengguna dapat mencari tiket pesawat</t>
  </si>
  <si>
    <t>TC-020</t>
  </si>
  <si>
    <t>Cari tiket sekali jalan dengan data valid</t>
  </si>
  <si>
    <t>Website Traveloka terbuka; menu Tiket Pesawat dapat diakses</t>
  </si>
  <si>
    <t>Dari: Jakarta (CGK)
Ke: Medan (KNO)
Tanggal Pergi: H+14
1 Dewasa, Ekonomi</t>
  </si>
  <si>
    <t>1. Klik menu Tiket Pesawat
2. Pilih kota asal dan tujuan
3. Pilih tanggal pergi
4. Klik Cari Penerbangan</t>
  </si>
  <si>
    <t>Halaman hasil pencarian terbuka dan menampilkan daftar penerbangan.</t>
  </si>
  <si>
    <t>TC-021</t>
  </si>
  <si>
    <t>Hasil pencarian sesuai dengan data yang dimasukkan</t>
  </si>
  <si>
    <t>Dari: Jakarta (CGK)
Ke: Medan (KNO)
Tanggal Pergi: H+14
2 Dewasa</t>
  </si>
  <si>
    <t>1. Cari tiket dengan data valid
2. Periksa ringkasan pencarian dan beberapa penerbangan teratas</t>
  </si>
  <si>
    <t>Rute, tanggal, dan jumlah penumpang pada hasil sama dengan input; semua penerbangan sesuai rute.</t>
  </si>
  <si>
    <t>TC-022</t>
  </si>
  <si>
    <t>Cari tiket pulang-pergi dengan data valid</t>
  </si>
  <si>
    <t>Dari: Jakarta (CGK)
Ke: Medan (KNO)
Tanggal Pergi: H+14
Tanggal Pulang: H+17</t>
  </si>
  <si>
    <t>1. Klik menu Tiket Pesawat
2. Aktifkan Pulang-Pergi
3. Pilih kota asal, tujuan, tanggal pergi, dan tanggal pulang
4. Klik Cari Penerbangan</t>
  </si>
  <si>
    <t>Hasil pencarian tampil untuk penerbangan pergi dan pulang sesuai tanggal yang dipilih.</t>
  </si>
  <si>
    <t>TC-023</t>
  </si>
  <si>
    <t>Cari tiket dengan beberapa penumpang (dewasa dan anak)</t>
  </si>
  <si>
    <t>Dari: Jakarta (CGK)
Ke: Medan (KNO)
Tanggal Pergi: H+14
2 Dewasa, 1 Anak</t>
  </si>
  <si>
    <t>1. Klik kolom Penumpang
2. Ubah Dewasa menjadi 2 dan Anak menjadi 1
3. Pilih kota dan tanggal
4. Klik Cari Penerbangan</t>
  </si>
  <si>
    <t>Jumlah penumpang pada form dan hasil pencarian sesuai pilihan (2 Dewasa, 1 Anak).</t>
  </si>
  <si>
    <t>TC-024</t>
  </si>
  <si>
    <t>Cari tiket dengan kelas kabin Bisnis</t>
  </si>
  <si>
    <t>Dari: Jakarta (CGK)
Ke: Medan (KNO)
Tanggal Pergi: H+14
1 Dewasa, Bisnis</t>
  </si>
  <si>
    <t>1. Klik kolom Kelas Kabin dan pilih Bisnis
2. Pilih kota dan tanggal
3. Klik Cari Penerbangan</t>
  </si>
  <si>
    <t>Hasil pencarian menampilkan penerbangan kelas Bisnis (jika tersedia).</t>
  </si>
  <si>
    <t>TC-025</t>
  </si>
  <si>
    <t>Menukar kota asal dan kota tujuan</t>
  </si>
  <si>
    <t>Website Traveloka terbuka; menu Tiket Pesawat dapat diakses; kota asal dan tujuan sudah terisi</t>
  </si>
  <si>
    <t>Low</t>
  </si>
  <si>
    <t>Dari: Jakarta (CGK)
Ke: Medan (KNO)</t>
  </si>
  <si>
    <t>1. Isi kota asal dan tujuan
2. Klik tombol tukar</t>
  </si>
  <si>
    <t>Kota asal dan tujuan saling bertukar (Dari: Medan, Ke: Jakarta).</t>
  </si>
  <si>
    <t>TC-026</t>
  </si>
  <si>
    <t>Mengubah tanggal dari halaman hasil lalu cari ulang</t>
  </si>
  <si>
    <t>Sedang berada di halaman hasil pencarian</t>
  </si>
  <si>
    <t>Tanggal Pergi: ubah dari H+14 ke H+15</t>
  </si>
  <si>
    <t>1. Ubah tanggal pergi pada form di halaman hasil
2. Klik Cari/Ubah Pencarian</t>
  </si>
  <si>
    <t>Hasil pencarian diperbarui sesuai tanggal baru.</t>
  </si>
  <si>
    <t>TC-027</t>
  </si>
  <si>
    <t>Cari tiket dengan kota asal sama dengan kota tujuan</t>
  </si>
  <si>
    <t>Dari: Jakarta (CGK)
Ke: Jakarta (CGK)</t>
  </si>
  <si>
    <t>1. Pilih kota asal dan tujuan yang sama
2. Pilih tanggal pergi
3. Klik Cari Penerbangan</t>
  </si>
  <si>
    <t>Pencarian ditolak dan muncul pesan kota asal dan tujuan tidak boleh sama.</t>
  </si>
  <si>
    <t>TC-028</t>
  </si>
  <si>
    <t>Cari tiket tanpa memilih kota asal</t>
  </si>
  <si>
    <t>Dari: (kosong)
Ke: Medan (KNO)</t>
  </si>
  <si>
    <t>1. Kosongkan kolom Dari
2. Isi kolom Ke dan tanggal pergi
3. Klik Cari Penerbangan</t>
  </si>
  <si>
    <t>TC-029</t>
  </si>
  <si>
    <t>Cari tiket tanpa memilih kota tujuan</t>
  </si>
  <si>
    <t>Dari: Jakarta (CGK)
Ke: (kosong)</t>
  </si>
  <si>
    <t>1. Isi kolom Dari dan tanggal pergi
2. Kosongkan kolom Ke
3. Klik Cari Penerbangan</t>
  </si>
  <si>
    <t>TC-030</t>
  </si>
  <si>
    <t>Memilih tanggal keberangkatan yang sudah lewat</t>
  </si>
  <si>
    <t>Tanggal Pergi: kemarin</t>
  </si>
  <si>
    <t>1. Klik kolom Tanggal Pergi
2. Coba pilih tanggal kemarin</t>
  </si>
  <si>
    <t>Tanggal yang sudah lewat tidak dapat dipilih.</t>
  </si>
  <si>
    <t>TC-031</t>
  </si>
  <si>
    <t>Memilih tanggal pulang sebelum tanggal pergi</t>
  </si>
  <si>
    <t>Website Traveloka terbuka; menu Tiket Pesawat dapat diakses; Pulang-Pergi aktif</t>
  </si>
  <si>
    <t>Tanggal Pergi: H+14
Tanggal Pulang: H+10</t>
  </si>
  <si>
    <t>1. Pilih tanggal pergi H+14
2. Coba pilih tanggal pulang H+10</t>
  </si>
  <si>
    <t>Tanggal pulang sebelum tanggal pergi tidak dapat dipilih atau pencarian ditolak.</t>
  </si>
  <si>
    <t>TC-032</t>
  </si>
  <si>
    <t>Jumlah bayi melebihi jumlah dewasa</t>
  </si>
  <si>
    <t>1 Dewasa, 2 Bayi</t>
  </si>
  <si>
    <t>1. Klik kolom Penumpang
2. Biarkan Dewasa = 1
3. Tambah Bayi menjadi 2</t>
  </si>
  <si>
    <t>Sistem membatasi jumlah bayi (tombol tambah nonaktif atau muncul pesan).</t>
  </si>
  <si>
    <t>TC-033</t>
  </si>
  <si>
    <t>Pencarian untuk rute yang tidak ada penerbangan</t>
  </si>
  <si>
    <t>Rute/tanggal tanpa jadwal penerbangan</t>
  </si>
  <si>
    <t>1. Pilih rute atau tanggal yang tidak memiliki penerbangan
2. Klik Cari Penerbangan</t>
  </si>
  <si>
    <t>Muncul pesan penerbangan tidak ditemukan dan halaman tidak error.</t>
  </si>
  <si>
    <t>Data diterima dan menampilkan pop up register sukses
kek mana bilang actual nya ini kek sama berhasil</t>
  </si>
  <si>
    <t>https://drive.google.com/file/d/1K1nZmD19Eyp3V5JaPw2NlVc6mE0aVGUx/view?usp=drive_link</t>
  </si>
  <si>
    <t>https://drive.google.com/file/d/1oOdtJc0wlTN3GhhTpgBnbu_pvuH7XTtp/view?usp=drive_link</t>
  </si>
  <si>
    <t>https://drive.google.com/file/d/1wm6MlrSNij14AFztO8Q8TtR66TQH9bQ0/view?usp=drive_link</t>
  </si>
  <si>
    <t>https://drive.google.com/file/d/1tEMU0OsMXWPUIzLAJT_6CFivl-yrPrGH/view?usp=drive_link</t>
  </si>
  <si>
    <t>https://drive.google.com/file/d/1ydicv16CHkQBHo2mhhXYf6GFdbmw2n01/view?usp=drive_link</t>
  </si>
  <si>
    <t>https://drive.google.com/file/d/1ET5nRtrPbewFxdgpCfhDLmJs87rs-YNx/view?usp=drive_link</t>
  </si>
  <si>
    <t>https://drive.google.com/file/d/1232KTHW9T1x3bOA8kLC5X4QXra1C9_E-/view?usp=drive_link</t>
  </si>
  <si>
    <t>https://drive.google.com/file/d/1cuTw6KA_We6YQrcjmTcfG93-3Yq2wFRF/view?usp=drive_link</t>
  </si>
  <si>
    <t>https://drive.google.com/file/d/1yj7xHEI_Cd8ORdgO43lMmD9YHmVkX6PB/view?usp=drive_link</t>
  </si>
  <si>
    <t>Sistem berhasil memverifikasi data, membuat akun pengguna, dan mengarahkan pengguna ke halaman akun.</t>
  </si>
  <si>
    <t>Akun ganda tidak dibuat; muncul informasi This account is already connected to a Traveloka account. You can simply enter your password below to login.</t>
  </si>
  <si>
    <t>Sistem menampilkan informasi bahwa akun sudah terhubung dengan akun Traveloka yang ada, sehingga akun ganda tidak dibuat.</t>
  </si>
  <si>
    <t xml:space="preserve">Pendaftaran tidak diproses dan tombol tidak dapat di tekan </t>
  </si>
  <si>
    <t>Tombol Continue tidak dapat diklik</t>
  </si>
  <si>
    <t>Passed</t>
  </si>
  <si>
    <t>Verifikasi ditolak dan muncul pesan kode OTP tidak valid</t>
  </si>
  <si>
    <t>1. Klik tombol Daftar
3. Klik tombol Daftar/Lanjutkan</t>
  </si>
  <si>
    <t xml:space="preserve">Email: marshandasmg@gmail.com
</t>
  </si>
  <si>
    <t>No. HP: -</t>
  </si>
  <si>
    <t xml:space="preserve">Email: marshandasmggmail.com
</t>
  </si>
  <si>
    <t>Email: marshandasmg@gmail.com
Password: Ab1</t>
  </si>
  <si>
    <t xml:space="preserve">Email: email akun uji
</t>
  </si>
  <si>
    <t>1. Klik tombol Masuk
2. Isi email
4. Klik tombol Masuk</t>
  </si>
  <si>
    <t>Login berhasil dan muncul pop up login berhasil</t>
  </si>
  <si>
    <t>https://drive.google.com/file/d/1Np1SQrtcTNbMv5an5aB7ilqIiR3A1fae/view?usp=drive_link</t>
  </si>
  <si>
    <t>https://drive.google.com/file/d/1MbNn1qzBoGLwPOUmjdFEqsu7zg4ReyvB/view?usp=drive_link</t>
  </si>
  <si>
    <t>https://drive.google.com/file/d/1tHpt2KVaAkxQ3qjlWr3UFcgNNptdOsin/view?usp=drive_link</t>
  </si>
  <si>
    <t>Login berhasil dan pengguna pop up berhasil login</t>
  </si>
  <si>
    <t>Email: marshanda.ksh@gmail.com
Password: password asli dengan huruf besar/kecil dibalik</t>
  </si>
  <si>
    <t>Email:marshanda.ksh@gmail.com
Password: Salah</t>
  </si>
  <si>
    <t>Sistem menolak kata sandi yang salah dan menampilkan informasi bahwa email sudah terhubung dengan akun login sosial.</t>
  </si>
  <si>
    <t>Sistem menampilkan pop-up “Kamu sudah pernah masuk dengan email ini” dengan opsi login sosial atau melanjutkan dengan email.</t>
  </si>
  <si>
    <t>https://drive.google.com/file/d/1fy9HICr-a59Ih42JyX57lCscdn9FlJEY/view?usp=drive_link</t>
  </si>
  <si>
    <t>https://drive.google.com/file/d/1EOyw0p_hCDT0m0mpX0w-NncCPZXpW9fr/view?usp=drive_link</t>
  </si>
  <si>
    <t xml:space="preserve">Login ditolak dan tombol lanjutkan tidak dpat di tekan </t>
  </si>
  <si>
    <t>https://drive.google.com/file/d/1gOvKIhflALA6TMpGhNNKeS4zrI6tRB30/view?usp=drive_link</t>
  </si>
  <si>
    <t>https://drive.google.com/file/d/1Drvwv3QX94877Aj50D7WPwLVIeJdYLaN/view?usp=drive_link</t>
  </si>
  <si>
    <t>https://drive.google.com/file/d/1bhC11k2TdXuBZUqDXwA__18e0fdk1Zqa/view?usp=drive_link</t>
  </si>
  <si>
    <t xml:space="preserve">sistem menampilkan format email tidak valid </t>
  </si>
  <si>
    <t>Login dengan nomor yang belum terdaftar</t>
  </si>
  <si>
    <t xml:space="preserve">nomor: -
</t>
  </si>
  <si>
    <t>Login ditolak dan tombol mengarah bke halaman daftar</t>
  </si>
  <si>
    <t>https://drive.google.com/file/d/1nweHtDPoU6SurDTxVKJFoSE5Cad_adCD/view?usp=drive_link</t>
  </si>
  <si>
    <t>https://drive.google.com/file/d/1ilEyoIWsvVgQSf9a1CQsXl5HuIu_65sx/view?usp=drive_link</t>
  </si>
  <si>
    <t>Pengguna tetap dalam keadaan login .</t>
  </si>
  <si>
    <t>https://drive.google.com/file/d/1GyXqzOhANjKcWwmxVyraKn-Ih0RwMmG-/view?usp=drive_link</t>
  </si>
  <si>
    <t>Sistem menampilkan hasil pencarian penerbangan</t>
  </si>
  <si>
    <t>Sistem menampilakna Rute, tanggal, dan jumlah penumpang pada hasil sama dengan input; semua penerbangan sesuai rute.</t>
  </si>
  <si>
    <t>https://drive.google.com/file/d/12BELVXb9eDBmTSrxaL2x9g5XBBzwezc5/view?usp=drive_link</t>
  </si>
  <si>
    <t>https://drive.google.com/file/d/1PooHKx3p-sj0YxaigjW4EkP52TJQyYxo/view?usp=drive_link</t>
  </si>
  <si>
    <t>Sistem menampilkan untuk penerbangan pergi dan pulang sesuai tanggal yang dipilih.</t>
  </si>
  <si>
    <t>https://drive.google.com/file/d/1bfDwMsqPhSg6ykz4oj3QqgMKUmJSMVPY/view?usp=drive_link</t>
  </si>
  <si>
    <t>Sistem menampilkan  penumpang pada form dan hasil pencarian sesuai pilihan (2 Dewasa, 1 Anak).</t>
  </si>
  <si>
    <t>https://drive.google.com/file/d/1bGaF2c9dZZniCrIWnGvarCqM3NHjhxcy/view?usp=drive_link</t>
  </si>
  <si>
    <t>Sistem menampilkan penerbangan dengan kelas bisnis</t>
  </si>
  <si>
    <t>sistem menampilkan KNO -&gt; CGK</t>
  </si>
  <si>
    <t>https://drive.google.com/file/d/12RnrXWuP5kEWNnaxXRpo-OpG6hLHLEnl/view?usp=drive_link</t>
  </si>
  <si>
    <t>https://drive.google.com/file/d/13fFSc9FFS1RouJkbUm9aKfjTAgZ1LZx3/view?usp=drive_link</t>
  </si>
  <si>
    <t>Sistem menmpilkan penerbangan dengan tgl yg telah di perbarui</t>
  </si>
  <si>
    <t xml:space="preserve">sistem menampilkan kota tujuan dan asl tidak boleh sama </t>
  </si>
  <si>
    <t>https://drive.google.com/file/d/10URYTZmejn-98olSdZyjMsWAU2Hq2BDA/view?usp=drive_link</t>
  </si>
  <si>
    <t>sistem menampilkan  Kota yg terakhir kali di cari</t>
  </si>
  <si>
    <t>https://drive.google.com/file/d/1nbvgWyTH3ZW1uBjjWv_PY3vKgvgFEgzf/view?usp=drive_link</t>
  </si>
  <si>
    <t>Penyusun: Marshanda - QA Tester  |  Tanggal Dibuat: 13/10/2026  |  Environment:Google Chrome  |  Website: https://www.traveloka.com/</t>
  </si>
  <si>
    <t>https://drive.google.com/file/d/1F4amEESI8RFUINl05oOttnXP6gfWPDA2/view?usp=drive_link</t>
  </si>
  <si>
    <t>https://drive.google.com/file/d/18UM-UfU06fh5_jNCSJrUviXS6v7vGh20/view?usp=drive_link</t>
  </si>
  <si>
    <t xml:space="preserve">Sistem tidak dapat menekan tgl yg suah lewat </t>
  </si>
  <si>
    <t xml:space="preserve">sistem menampilkan Tanggal yang seharus nya pulang jadi pergi </t>
  </si>
  <si>
    <t>https://drive.google.com/file/d/1D3CMlAjr9KIsryYvECNNvSW3oz-th3rp/view?usp=drive_link</t>
  </si>
  <si>
    <t>Sistem menampilkan peringatan jumlah penumpang bayi tidak boleh melebihi menumpang dewasa</t>
  </si>
  <si>
    <t>https://drive.google.com/file/d/1zqQ1-b5kHmxwMpod79o_oHWih5upFKL7/view?usp=drive_link</t>
  </si>
  <si>
    <t>Sistem Menampilkan penerbangan tidak di temukan</t>
  </si>
  <si>
    <t>https://drive.google.com/file/d/1mu_VbIU9ZJFAzyLrwxhUWqmIvBJVto9h/view?usp=drive_link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</si>
</sst>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8ECEF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1" applyBorder="1" applyAlignment="1">
      <alignment horizontal="center" vertical="center" wrapText="1"/>
    </xf>
  </cellXfs>
  <cellStyles count="2">
    <cellStyle name="Hipertaut" xfId="1" builtinId="8"/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E8EC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fy9HICr-a59Ih42JyX57lCscdn9FlJEY/view?usp=drive_link" TargetMode="External"/><Relationship Id="rId18" Type="http://schemas.openxmlformats.org/officeDocument/2006/relationships/hyperlink" Target="https://drive.google.com/file/d/1nweHtDPoU6SurDTxVKJFoSE5Cad_adCD/view?usp=drive_link" TargetMode="External"/><Relationship Id="rId26" Type="http://schemas.openxmlformats.org/officeDocument/2006/relationships/hyperlink" Target="https://drive.google.com/file/d/13fFSc9FFS1RouJkbUm9aKfjTAgZ1LZx3/view?usp=drive_link" TargetMode="External"/><Relationship Id="rId3" Type="http://schemas.openxmlformats.org/officeDocument/2006/relationships/hyperlink" Target="https://drive.google.com/file/d/1wm6MlrSNij14AFztO8Q8TtR66TQH9bQ0/view?usp=drive_link" TargetMode="External"/><Relationship Id="rId21" Type="http://schemas.openxmlformats.org/officeDocument/2006/relationships/hyperlink" Target="https://drive.google.com/file/d/12BELVXb9eDBmTSrxaL2x9g5XBBzwezc5/view?usp=drive_link" TargetMode="External"/><Relationship Id="rId7" Type="http://schemas.openxmlformats.org/officeDocument/2006/relationships/hyperlink" Target="https://drive.google.com/file/d/1232KTHW9T1x3bOA8kLC5X4QXra1C9_E-/view?usp=drive_link" TargetMode="External"/><Relationship Id="rId12" Type="http://schemas.openxmlformats.org/officeDocument/2006/relationships/hyperlink" Target="https://drive.google.com/file/d/1tHpt2KVaAkxQ3qjlWr3UFcgNNptdOsin/view?usp=drive_link" TargetMode="External"/><Relationship Id="rId17" Type="http://schemas.openxmlformats.org/officeDocument/2006/relationships/hyperlink" Target="https://drive.google.com/file/d/1bhC11k2TdXuBZUqDXwA__18e0fdk1Zqa/view?usp=drive_link" TargetMode="External"/><Relationship Id="rId25" Type="http://schemas.openxmlformats.org/officeDocument/2006/relationships/hyperlink" Target="https://drive.google.com/file/d/12RnrXWuP5kEWNnaxXRpo-OpG6hLHLEnl/view?usp=drive_link" TargetMode="External"/><Relationship Id="rId33" Type="http://schemas.openxmlformats.org/officeDocument/2006/relationships/hyperlink" Target="https://drive.google.com/file/d/1zqQ1-b5kHmxwMpod79o_oHWih5upFKL7/view?usp=drive_link" TargetMode="External"/><Relationship Id="rId2" Type="http://schemas.openxmlformats.org/officeDocument/2006/relationships/hyperlink" Target="https://drive.google.com/file/d/1oOdtJc0wlTN3GhhTpgBnbu_pvuH7XTtp/view?usp=drive_link" TargetMode="External"/><Relationship Id="rId16" Type="http://schemas.openxmlformats.org/officeDocument/2006/relationships/hyperlink" Target="https://drive.google.com/file/d/1Drvwv3QX94877Aj50D7WPwLVIeJdYLaN/view?usp=drive_link" TargetMode="External"/><Relationship Id="rId20" Type="http://schemas.openxmlformats.org/officeDocument/2006/relationships/hyperlink" Target="https://drive.google.com/file/d/1GyXqzOhANjKcWwmxVyraKn-Ih0RwMmG-/view?usp=drive_link" TargetMode="External"/><Relationship Id="rId29" Type="http://schemas.openxmlformats.org/officeDocument/2006/relationships/hyperlink" Target="https://drive.google.com/file/d/1F4amEESI8RFUINl05oOttnXP6gfWPDA2/view?usp=drive_link" TargetMode="External"/><Relationship Id="rId1" Type="http://schemas.openxmlformats.org/officeDocument/2006/relationships/hyperlink" Target="https://drive.google.com/file/d/1K1nZmD19Eyp3V5JaPw2NlVc6mE0aVGUx/view?usp=drive_link" TargetMode="External"/><Relationship Id="rId6" Type="http://schemas.openxmlformats.org/officeDocument/2006/relationships/hyperlink" Target="https://drive.google.com/file/d/1ET5nRtrPbewFxdgpCfhDLmJs87rs-YNx/view?usp=drive_link" TargetMode="External"/><Relationship Id="rId11" Type="http://schemas.openxmlformats.org/officeDocument/2006/relationships/hyperlink" Target="https://drive.google.com/file/d/1MbNn1qzBoGLwPOUmjdFEqsu7zg4ReyvB/view?usp=drive_link" TargetMode="External"/><Relationship Id="rId24" Type="http://schemas.openxmlformats.org/officeDocument/2006/relationships/hyperlink" Target="https://drive.google.com/file/d/1bGaF2c9dZZniCrIWnGvarCqM3NHjhxcy/view?usp=drive_link" TargetMode="External"/><Relationship Id="rId32" Type="http://schemas.openxmlformats.org/officeDocument/2006/relationships/hyperlink" Target="https://drive.google.com/file/d/1mu_VbIU9ZJFAzyLrwxhUWqmIvBJVto9h/view?usp=drive_link" TargetMode="External"/><Relationship Id="rId5" Type="http://schemas.openxmlformats.org/officeDocument/2006/relationships/hyperlink" Target="https://drive.google.com/file/d/1ydicv16CHkQBHo2mhhXYf6GFdbmw2n01/view?usp=drive_link" TargetMode="External"/><Relationship Id="rId15" Type="http://schemas.openxmlformats.org/officeDocument/2006/relationships/hyperlink" Target="https://drive.google.com/file/d/1gOvKIhflALA6TMpGhNNKeS4zrI6tRB30/view?usp=drive_link" TargetMode="External"/><Relationship Id="rId23" Type="http://schemas.openxmlformats.org/officeDocument/2006/relationships/hyperlink" Target="https://drive.google.com/file/d/1bfDwMsqPhSg6ykz4oj3QqgMKUmJSMVPY/view?usp=drive_link" TargetMode="External"/><Relationship Id="rId28" Type="http://schemas.openxmlformats.org/officeDocument/2006/relationships/hyperlink" Target="https://drive.google.com/file/d/1nbvgWyTH3ZW1uBjjWv_PY3vKgvgFEgzf/view?usp=drive_link" TargetMode="External"/><Relationship Id="rId10" Type="http://schemas.openxmlformats.org/officeDocument/2006/relationships/hyperlink" Target="https://drive.google.com/file/d/1Np1SQrtcTNbMv5an5aB7ilqIiR3A1fae/view?usp=drive_link" TargetMode="External"/><Relationship Id="rId19" Type="http://schemas.openxmlformats.org/officeDocument/2006/relationships/hyperlink" Target="https://drive.google.com/file/d/1ilEyoIWsvVgQSf9a1CQsXl5HuIu_65sx/view?usp=drive_link" TargetMode="External"/><Relationship Id="rId31" Type="http://schemas.openxmlformats.org/officeDocument/2006/relationships/hyperlink" Target="https://drive.google.com/file/d/1D3CMlAjr9KIsryYvECNNvSW3oz-th3rp/view?usp=drive_link" TargetMode="External"/><Relationship Id="rId4" Type="http://schemas.openxmlformats.org/officeDocument/2006/relationships/hyperlink" Target="https://drive.google.com/file/d/1tEMU0OsMXWPUIzLAJT_6CFivl-yrPrGH/view?usp=drive_link" TargetMode="External"/><Relationship Id="rId9" Type="http://schemas.openxmlformats.org/officeDocument/2006/relationships/hyperlink" Target="https://drive.google.com/file/d/1yj7xHEI_Cd8ORdgO43lMmD9YHmVkX6PB/view?usp=drive_link" TargetMode="External"/><Relationship Id="rId14" Type="http://schemas.openxmlformats.org/officeDocument/2006/relationships/hyperlink" Target="https://drive.google.com/file/d/1EOyw0p_hCDT0m0mpX0w-NncCPZXpW9fr/view?usp=drive_link" TargetMode="External"/><Relationship Id="rId22" Type="http://schemas.openxmlformats.org/officeDocument/2006/relationships/hyperlink" Target="https://drive.google.com/file/d/1PooHKx3p-sj0YxaigjW4EkP52TJQyYxo/view?usp=drive_link" TargetMode="External"/><Relationship Id="rId27" Type="http://schemas.openxmlformats.org/officeDocument/2006/relationships/hyperlink" Target="https://drive.google.com/file/d/10URYTZmejn-98olSdZyjMsWAU2Hq2BDA/view?usp=drive_link" TargetMode="External"/><Relationship Id="rId30" Type="http://schemas.openxmlformats.org/officeDocument/2006/relationships/hyperlink" Target="https://drive.google.com/file/d/18UM-UfU06fh5_jNCSJrUviXS6v7vGh20/view?usp=drive_link" TargetMode="External"/><Relationship Id="rId8" Type="http://schemas.openxmlformats.org/officeDocument/2006/relationships/hyperlink" Target="https://drive.google.com/file/d/1cuTw6KA_We6YQrcjmTcfG93-3Yq2wFRF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8"/>
  <sheetViews>
    <sheetView showGridLines="0" tabSelected="1" zoomScale="115" zoomScaleNormal="115" workbookViewId="0">
      <pane xSplit="4" ySplit="5" topLeftCell="E15" activePane="bottomRight" state="frozen"/>
      <selection pane="topRight" activeCell="E1" sqref="E1"/>
      <selection pane="bottomLeft" activeCell="A6" sqref="A6"/>
      <selection pane="bottomRight" activeCell="H16" sqref="H16"/>
    </sheetView>
  </sheetViews>
  <sheetFormatPr defaultColWidth="8.6640625" defaultRowHeight="14.4" x14ac:dyDescent="0.3"/>
  <cols>
    <col min="1" max="1" width="17" customWidth="1"/>
    <col min="2" max="2" width="24" customWidth="1"/>
    <col min="3" max="3" width="11" customWidth="1"/>
    <col min="4" max="4" width="30" customWidth="1"/>
    <col min="5" max="5" width="26" customWidth="1"/>
    <col min="6" max="6" width="14" customWidth="1"/>
    <col min="7" max="7" width="10" customWidth="1"/>
    <col min="8" max="8" width="28" customWidth="1"/>
    <col min="9" max="10" width="40" customWidth="1"/>
    <col min="11" max="11" width="24" customWidth="1"/>
    <col min="12" max="12" width="24.77734375" customWidth="1"/>
    <col min="13" max="14" width="14" customWidth="1"/>
  </cols>
  <sheetData>
    <row r="1" spans="1:14" ht="16.8" x14ac:dyDescent="0.3">
      <c r="A1" s="1" t="s">
        <v>0</v>
      </c>
    </row>
    <row r="2" spans="1:14" x14ac:dyDescent="0.3">
      <c r="A2" s="2" t="s">
        <v>247</v>
      </c>
    </row>
    <row r="3" spans="1:14" x14ac:dyDescent="0.3">
      <c r="A3" s="3" t="s">
        <v>1</v>
      </c>
      <c r="B3" s="4">
        <f>COUNTA(C6:C38)</f>
        <v>33</v>
      </c>
      <c r="C3" s="3" t="s">
        <v>2</v>
      </c>
      <c r="D3" s="4">
        <f>COUNTIF(M6:M38,"Passed")</f>
        <v>33</v>
      </c>
      <c r="E3" s="3" t="s">
        <v>3</v>
      </c>
      <c r="F3" s="4">
        <f>COUNTIF(M6:M38,"Failed")</f>
        <v>0</v>
      </c>
      <c r="G3" s="3" t="s">
        <v>4</v>
      </c>
      <c r="H3" s="4">
        <f>COUNTIF(M6:M38,"Blocked")</f>
        <v>0</v>
      </c>
      <c r="I3" s="3" t="s">
        <v>5</v>
      </c>
      <c r="J3" s="4">
        <f>COUNTIF(M6:M38,"Not Executed")</f>
        <v>0</v>
      </c>
    </row>
    <row r="5" spans="1:14" ht="31.5" customHeight="1" x14ac:dyDescent="0.3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19</v>
      </c>
    </row>
    <row r="6" spans="1:14" ht="46.5" customHeight="1" x14ac:dyDescent="0.3">
      <c r="A6" s="6" t="s">
        <v>20</v>
      </c>
      <c r="B6" s="7" t="s">
        <v>21</v>
      </c>
      <c r="C6" s="6" t="s">
        <v>22</v>
      </c>
      <c r="D6" s="7" t="s">
        <v>23</v>
      </c>
      <c r="E6" s="7" t="s">
        <v>24</v>
      </c>
      <c r="F6" s="6" t="s">
        <v>25</v>
      </c>
      <c r="G6" s="6" t="s">
        <v>26</v>
      </c>
      <c r="H6" s="7" t="s">
        <v>201</v>
      </c>
      <c r="I6" s="7" t="s">
        <v>200</v>
      </c>
      <c r="J6" s="7" t="s">
        <v>27</v>
      </c>
      <c r="K6" s="7" t="s">
        <v>183</v>
      </c>
      <c r="L6" s="8" t="s">
        <v>184</v>
      </c>
      <c r="M6" s="6" t="s">
        <v>198</v>
      </c>
      <c r="N6" s="6" t="s">
        <v>28</v>
      </c>
    </row>
    <row r="7" spans="1:14" ht="46.5" customHeight="1" x14ac:dyDescent="0.3">
      <c r="A7" s="6" t="s">
        <v>20</v>
      </c>
      <c r="B7" s="7" t="s">
        <v>21</v>
      </c>
      <c r="C7" s="6" t="s">
        <v>29</v>
      </c>
      <c r="D7" s="7" t="s">
        <v>30</v>
      </c>
      <c r="E7" s="7" t="s">
        <v>24</v>
      </c>
      <c r="F7" s="6" t="s">
        <v>25</v>
      </c>
      <c r="G7" s="6" t="s">
        <v>26</v>
      </c>
      <c r="H7" s="7" t="s">
        <v>202</v>
      </c>
      <c r="I7" s="7" t="s">
        <v>31</v>
      </c>
      <c r="J7" s="7" t="s">
        <v>32</v>
      </c>
      <c r="K7" s="7" t="s">
        <v>183</v>
      </c>
      <c r="L7" s="8" t="s">
        <v>209</v>
      </c>
      <c r="M7" s="6" t="s">
        <v>198</v>
      </c>
      <c r="N7" s="6" t="s">
        <v>28</v>
      </c>
    </row>
    <row r="8" spans="1:14" ht="46.5" customHeight="1" x14ac:dyDescent="0.3">
      <c r="A8" s="6" t="s">
        <v>20</v>
      </c>
      <c r="B8" s="7" t="s">
        <v>21</v>
      </c>
      <c r="C8" s="6" t="s">
        <v>33</v>
      </c>
      <c r="D8" s="7" t="s">
        <v>34</v>
      </c>
      <c r="E8" s="7" t="s">
        <v>35</v>
      </c>
      <c r="F8" s="6" t="s">
        <v>25</v>
      </c>
      <c r="G8" s="6" t="s">
        <v>26</v>
      </c>
      <c r="H8" s="7" t="s">
        <v>36</v>
      </c>
      <c r="I8" s="7" t="s">
        <v>37</v>
      </c>
      <c r="J8" s="7" t="s">
        <v>38</v>
      </c>
      <c r="K8" s="7" t="s">
        <v>193</v>
      </c>
      <c r="L8" s="8" t="s">
        <v>185</v>
      </c>
      <c r="M8" s="6" t="s">
        <v>198</v>
      </c>
      <c r="N8" s="6" t="s">
        <v>28</v>
      </c>
    </row>
    <row r="9" spans="1:14" ht="46.5" customHeight="1" x14ac:dyDescent="0.3">
      <c r="A9" s="6" t="s">
        <v>20</v>
      </c>
      <c r="B9" s="7" t="s">
        <v>21</v>
      </c>
      <c r="C9" s="6" t="s">
        <v>39</v>
      </c>
      <c r="D9" s="7" t="s">
        <v>40</v>
      </c>
      <c r="E9" s="7" t="s">
        <v>35</v>
      </c>
      <c r="F9" s="6" t="s">
        <v>41</v>
      </c>
      <c r="G9" s="6" t="s">
        <v>26</v>
      </c>
      <c r="H9" s="7" t="s">
        <v>42</v>
      </c>
      <c r="I9" s="7" t="s">
        <v>43</v>
      </c>
      <c r="J9" s="7" t="s">
        <v>44</v>
      </c>
      <c r="K9" s="7" t="s">
        <v>199</v>
      </c>
      <c r="L9" s="8" t="s">
        <v>186</v>
      </c>
      <c r="M9" s="6" t="s">
        <v>198</v>
      </c>
      <c r="N9" s="6" t="s">
        <v>28</v>
      </c>
    </row>
    <row r="10" spans="1:14" ht="46.5" customHeight="1" x14ac:dyDescent="0.3">
      <c r="A10" s="6" t="s">
        <v>20</v>
      </c>
      <c r="B10" s="7" t="s">
        <v>21</v>
      </c>
      <c r="C10" s="6" t="s">
        <v>45</v>
      </c>
      <c r="D10" s="7" t="s">
        <v>46</v>
      </c>
      <c r="E10" s="7" t="s">
        <v>24</v>
      </c>
      <c r="F10" s="6" t="s">
        <v>41</v>
      </c>
      <c r="G10" s="6" t="s">
        <v>26</v>
      </c>
      <c r="H10" s="7" t="s">
        <v>47</v>
      </c>
      <c r="I10" s="7" t="s">
        <v>48</v>
      </c>
      <c r="J10" s="7" t="s">
        <v>194</v>
      </c>
      <c r="K10" s="7" t="s">
        <v>195</v>
      </c>
      <c r="L10" s="8" t="s">
        <v>187</v>
      </c>
      <c r="M10" s="6" t="s">
        <v>198</v>
      </c>
      <c r="N10" s="6" t="s">
        <v>28</v>
      </c>
    </row>
    <row r="11" spans="1:14" ht="46.5" customHeight="1" x14ac:dyDescent="0.3">
      <c r="A11" s="6" t="s">
        <v>20</v>
      </c>
      <c r="B11" s="7" t="s">
        <v>21</v>
      </c>
      <c r="C11" s="6" t="s">
        <v>49</v>
      </c>
      <c r="D11" s="7" t="s">
        <v>50</v>
      </c>
      <c r="E11" s="7" t="s">
        <v>24</v>
      </c>
      <c r="F11" s="6" t="s">
        <v>41</v>
      </c>
      <c r="G11" s="6" t="s">
        <v>26</v>
      </c>
      <c r="H11" s="7" t="s">
        <v>28</v>
      </c>
      <c r="I11" s="7" t="s">
        <v>51</v>
      </c>
      <c r="J11" s="7" t="s">
        <v>196</v>
      </c>
      <c r="K11" s="7" t="s">
        <v>197</v>
      </c>
      <c r="L11" s="8" t="s">
        <v>188</v>
      </c>
      <c r="M11" s="6" t="s">
        <v>198</v>
      </c>
      <c r="N11" s="6" t="s">
        <v>28</v>
      </c>
    </row>
    <row r="12" spans="1:14" ht="60" customHeight="1" x14ac:dyDescent="0.3">
      <c r="A12" s="6" t="s">
        <v>20</v>
      </c>
      <c r="B12" s="7" t="s">
        <v>21</v>
      </c>
      <c r="C12" s="6" t="s">
        <v>52</v>
      </c>
      <c r="D12" s="7" t="s">
        <v>53</v>
      </c>
      <c r="E12" s="7" t="s">
        <v>24</v>
      </c>
      <c r="F12" s="6" t="s">
        <v>41</v>
      </c>
      <c r="G12" s="6" t="s">
        <v>54</v>
      </c>
      <c r="H12" s="7" t="s">
        <v>203</v>
      </c>
      <c r="I12" s="7" t="s">
        <v>56</v>
      </c>
      <c r="J12" s="7" t="s">
        <v>196</v>
      </c>
      <c r="K12" s="7" t="s">
        <v>197</v>
      </c>
      <c r="L12" s="8" t="s">
        <v>189</v>
      </c>
      <c r="M12" s="6" t="s">
        <v>198</v>
      </c>
      <c r="N12" s="6" t="s">
        <v>28</v>
      </c>
    </row>
    <row r="13" spans="1:14" ht="46.5" customHeight="1" x14ac:dyDescent="0.3">
      <c r="A13" s="6" t="s">
        <v>20</v>
      </c>
      <c r="B13" s="7" t="s">
        <v>21</v>
      </c>
      <c r="C13" s="6" t="s">
        <v>57</v>
      </c>
      <c r="D13" s="7" t="s">
        <v>58</v>
      </c>
      <c r="E13" s="7" t="s">
        <v>24</v>
      </c>
      <c r="F13" s="6" t="s">
        <v>41</v>
      </c>
      <c r="G13" s="6" t="s">
        <v>54</v>
      </c>
      <c r="H13" s="7" t="s">
        <v>59</v>
      </c>
      <c r="I13" s="7" t="s">
        <v>60</v>
      </c>
      <c r="J13" s="7" t="s">
        <v>196</v>
      </c>
      <c r="K13" s="7" t="s">
        <v>197</v>
      </c>
      <c r="L13" s="8" t="s">
        <v>190</v>
      </c>
      <c r="M13" s="6" t="s">
        <v>198</v>
      </c>
      <c r="N13" s="6" t="s">
        <v>28</v>
      </c>
    </row>
    <row r="14" spans="1:14" ht="60" customHeight="1" x14ac:dyDescent="0.3">
      <c r="A14" s="6" t="s">
        <v>20</v>
      </c>
      <c r="B14" s="7" t="s">
        <v>21</v>
      </c>
      <c r="C14" s="6" t="s">
        <v>61</v>
      </c>
      <c r="D14" s="7" t="s">
        <v>62</v>
      </c>
      <c r="E14" s="7" t="s">
        <v>24</v>
      </c>
      <c r="F14" s="6" t="s">
        <v>41</v>
      </c>
      <c r="G14" s="6" t="s">
        <v>54</v>
      </c>
      <c r="H14" s="7" t="s">
        <v>63</v>
      </c>
      <c r="I14" s="7" t="s">
        <v>64</v>
      </c>
      <c r="J14" s="7" t="s">
        <v>196</v>
      </c>
      <c r="K14" s="7" t="s">
        <v>197</v>
      </c>
      <c r="L14" s="8" t="s">
        <v>191</v>
      </c>
      <c r="M14" s="6" t="s">
        <v>198</v>
      </c>
      <c r="N14" s="6" t="s">
        <v>28</v>
      </c>
    </row>
    <row r="15" spans="1:14" ht="72.75" customHeight="1" x14ac:dyDescent="0.3">
      <c r="A15" s="6" t="s">
        <v>20</v>
      </c>
      <c r="B15" s="7" t="s">
        <v>21</v>
      </c>
      <c r="C15" s="6" t="s">
        <v>65</v>
      </c>
      <c r="D15" s="7" t="s">
        <v>66</v>
      </c>
      <c r="E15" s="7" t="s">
        <v>67</v>
      </c>
      <c r="F15" s="6" t="s">
        <v>41</v>
      </c>
      <c r="G15" s="6" t="s">
        <v>54</v>
      </c>
      <c r="H15" s="7" t="s">
        <v>204</v>
      </c>
      <c r="I15" s="7" t="s">
        <v>68</v>
      </c>
      <c r="J15" s="7" t="s">
        <v>69</v>
      </c>
      <c r="K15" s="7" t="s">
        <v>69</v>
      </c>
      <c r="L15" s="8" t="s">
        <v>192</v>
      </c>
      <c r="M15" s="6" t="s">
        <v>198</v>
      </c>
      <c r="N15" s="6" t="s">
        <v>28</v>
      </c>
    </row>
    <row r="16" spans="1:14" ht="60" customHeight="1" x14ac:dyDescent="0.3">
      <c r="A16" s="6" t="s">
        <v>70</v>
      </c>
      <c r="B16" s="7" t="s">
        <v>71</v>
      </c>
      <c r="C16" s="6" t="s">
        <v>72</v>
      </c>
      <c r="D16" s="7" t="s">
        <v>73</v>
      </c>
      <c r="E16" s="7" t="s">
        <v>74</v>
      </c>
      <c r="F16" s="6" t="s">
        <v>25</v>
      </c>
      <c r="G16" s="6" t="s">
        <v>26</v>
      </c>
      <c r="H16" s="7" t="s">
        <v>205</v>
      </c>
      <c r="I16" s="7" t="s">
        <v>206</v>
      </c>
      <c r="J16" s="7" t="s">
        <v>207</v>
      </c>
      <c r="K16" s="7" t="s">
        <v>207</v>
      </c>
      <c r="L16" s="8" t="s">
        <v>208</v>
      </c>
      <c r="M16" s="6" t="s">
        <v>198</v>
      </c>
      <c r="N16" s="6" t="s">
        <v>28</v>
      </c>
    </row>
    <row r="17" spans="1:14" ht="60" customHeight="1" x14ac:dyDescent="0.3">
      <c r="A17" s="6" t="s">
        <v>70</v>
      </c>
      <c r="B17" s="7" t="s">
        <v>71</v>
      </c>
      <c r="C17" s="6" t="s">
        <v>75</v>
      </c>
      <c r="D17" s="7" t="s">
        <v>76</v>
      </c>
      <c r="E17" s="7" t="s">
        <v>77</v>
      </c>
      <c r="F17" s="6" t="s">
        <v>25</v>
      </c>
      <c r="G17" s="6" t="s">
        <v>26</v>
      </c>
      <c r="H17" s="7" t="s">
        <v>78</v>
      </c>
      <c r="I17" s="7" t="s">
        <v>79</v>
      </c>
      <c r="J17" s="7" t="s">
        <v>80</v>
      </c>
      <c r="K17" s="7" t="s">
        <v>211</v>
      </c>
      <c r="L17" s="8" t="s">
        <v>210</v>
      </c>
      <c r="M17" s="6" t="s">
        <v>198</v>
      </c>
      <c r="N17" s="6" t="s">
        <v>28</v>
      </c>
    </row>
    <row r="18" spans="1:14" ht="60" customHeight="1" x14ac:dyDescent="0.3">
      <c r="A18" s="6" t="s">
        <v>70</v>
      </c>
      <c r="B18" s="7" t="s">
        <v>71</v>
      </c>
      <c r="C18" s="6" t="s">
        <v>81</v>
      </c>
      <c r="D18" s="7" t="s">
        <v>82</v>
      </c>
      <c r="E18" s="7" t="s">
        <v>74</v>
      </c>
      <c r="F18" s="6" t="s">
        <v>41</v>
      </c>
      <c r="G18" s="6" t="s">
        <v>26</v>
      </c>
      <c r="H18" s="7" t="s">
        <v>213</v>
      </c>
      <c r="I18" s="7" t="s">
        <v>83</v>
      </c>
      <c r="J18" s="7" t="s">
        <v>214</v>
      </c>
      <c r="K18" s="7" t="s">
        <v>215</v>
      </c>
      <c r="L18" s="8" t="s">
        <v>216</v>
      </c>
      <c r="M18" s="6" t="s">
        <v>198</v>
      </c>
      <c r="N18" s="6" t="s">
        <v>28</v>
      </c>
    </row>
    <row r="19" spans="1:14" ht="72.75" customHeight="1" x14ac:dyDescent="0.3">
      <c r="A19" s="6" t="s">
        <v>70</v>
      </c>
      <c r="B19" s="7" t="s">
        <v>71</v>
      </c>
      <c r="C19" s="6" t="s">
        <v>84</v>
      </c>
      <c r="D19" s="7" t="s">
        <v>85</v>
      </c>
      <c r="E19" s="7" t="s">
        <v>74</v>
      </c>
      <c r="F19" s="6" t="s">
        <v>41</v>
      </c>
      <c r="G19" s="6" t="s">
        <v>54</v>
      </c>
      <c r="H19" s="7" t="s">
        <v>212</v>
      </c>
      <c r="I19" s="7" t="s">
        <v>86</v>
      </c>
      <c r="J19" s="7" t="s">
        <v>214</v>
      </c>
      <c r="K19" s="7" t="s">
        <v>215</v>
      </c>
      <c r="L19" s="8" t="s">
        <v>217</v>
      </c>
      <c r="M19" s="6" t="s">
        <v>198</v>
      </c>
      <c r="N19" s="6" t="s">
        <v>28</v>
      </c>
    </row>
    <row r="20" spans="1:14" ht="60" customHeight="1" x14ac:dyDescent="0.3">
      <c r="A20" s="6" t="s">
        <v>70</v>
      </c>
      <c r="B20" s="7" t="s">
        <v>71</v>
      </c>
      <c r="C20" s="6" t="s">
        <v>87</v>
      </c>
      <c r="D20" s="7" t="s">
        <v>223</v>
      </c>
      <c r="E20" s="7" t="s">
        <v>88</v>
      </c>
      <c r="F20" s="6" t="s">
        <v>41</v>
      </c>
      <c r="G20" s="6" t="s">
        <v>26</v>
      </c>
      <c r="H20" s="7" t="s">
        <v>224</v>
      </c>
      <c r="I20" s="7" t="s">
        <v>89</v>
      </c>
      <c r="J20" s="7" t="s">
        <v>225</v>
      </c>
      <c r="K20" s="7" t="s">
        <v>225</v>
      </c>
      <c r="L20" s="8" t="s">
        <v>226</v>
      </c>
      <c r="M20" s="6" t="s">
        <v>198</v>
      </c>
      <c r="N20" s="6" t="s">
        <v>28</v>
      </c>
    </row>
    <row r="21" spans="1:14" ht="46.5" customHeight="1" x14ac:dyDescent="0.3">
      <c r="A21" s="6" t="s">
        <v>70</v>
      </c>
      <c r="B21" s="7" t="s">
        <v>71</v>
      </c>
      <c r="C21" s="6" t="s">
        <v>90</v>
      </c>
      <c r="D21" s="7" t="s">
        <v>91</v>
      </c>
      <c r="E21" s="7" t="s">
        <v>88</v>
      </c>
      <c r="F21" s="6" t="s">
        <v>41</v>
      </c>
      <c r="G21" s="6" t="s">
        <v>26</v>
      </c>
      <c r="H21" s="7" t="s">
        <v>28</v>
      </c>
      <c r="I21" s="7" t="s">
        <v>92</v>
      </c>
      <c r="J21" s="7" t="s">
        <v>218</v>
      </c>
      <c r="K21" s="7" t="s">
        <v>218</v>
      </c>
      <c r="L21" s="8" t="s">
        <v>219</v>
      </c>
      <c r="M21" s="6" t="s">
        <v>198</v>
      </c>
      <c r="N21" s="6" t="s">
        <v>28</v>
      </c>
    </row>
    <row r="22" spans="1:14" ht="60" customHeight="1" x14ac:dyDescent="0.3">
      <c r="A22" s="6" t="s">
        <v>70</v>
      </c>
      <c r="B22" s="7" t="s">
        <v>71</v>
      </c>
      <c r="C22" s="6" t="s">
        <v>93</v>
      </c>
      <c r="D22" s="7" t="s">
        <v>94</v>
      </c>
      <c r="E22" s="7" t="s">
        <v>74</v>
      </c>
      <c r="F22" s="6" t="s">
        <v>41</v>
      </c>
      <c r="G22" s="6" t="s">
        <v>26</v>
      </c>
      <c r="H22" s="7" t="s">
        <v>95</v>
      </c>
      <c r="I22" s="7" t="s">
        <v>96</v>
      </c>
      <c r="J22" s="7" t="s">
        <v>97</v>
      </c>
      <c r="K22" s="7" t="s">
        <v>97</v>
      </c>
      <c r="L22" s="8" t="s">
        <v>220</v>
      </c>
      <c r="M22" s="6" t="s">
        <v>198</v>
      </c>
      <c r="N22" s="6" t="s">
        <v>28</v>
      </c>
    </row>
    <row r="23" spans="1:14" ht="60" customHeight="1" x14ac:dyDescent="0.3">
      <c r="A23" s="6" t="s">
        <v>70</v>
      </c>
      <c r="B23" s="7" t="s">
        <v>71</v>
      </c>
      <c r="C23" s="6" t="s">
        <v>98</v>
      </c>
      <c r="D23" s="7" t="s">
        <v>99</v>
      </c>
      <c r="E23" s="7" t="s">
        <v>88</v>
      </c>
      <c r="F23" s="6" t="s">
        <v>41</v>
      </c>
      <c r="G23" s="6" t="s">
        <v>54</v>
      </c>
      <c r="H23" s="7" t="s">
        <v>55</v>
      </c>
      <c r="I23" s="7" t="s">
        <v>100</v>
      </c>
      <c r="J23" s="7" t="s">
        <v>101</v>
      </c>
      <c r="K23" s="7" t="s">
        <v>222</v>
      </c>
      <c r="L23" s="8" t="s">
        <v>221</v>
      </c>
      <c r="M23" s="6" t="s">
        <v>198</v>
      </c>
      <c r="N23" s="6" t="s">
        <v>28</v>
      </c>
    </row>
    <row r="24" spans="1:14" ht="36" customHeight="1" x14ac:dyDescent="0.3">
      <c r="A24" s="6" t="s">
        <v>70</v>
      </c>
      <c r="B24" s="7" t="s">
        <v>71</v>
      </c>
      <c r="C24" s="6" t="s">
        <v>102</v>
      </c>
      <c r="D24" s="7" t="s">
        <v>103</v>
      </c>
      <c r="E24" s="7" t="s">
        <v>104</v>
      </c>
      <c r="F24" s="6" t="s">
        <v>25</v>
      </c>
      <c r="G24" s="6" t="s">
        <v>54</v>
      </c>
      <c r="H24" s="7" t="s">
        <v>105</v>
      </c>
      <c r="I24" s="7" t="s">
        <v>106</v>
      </c>
      <c r="J24" s="7" t="s">
        <v>107</v>
      </c>
      <c r="K24" s="7" t="s">
        <v>228</v>
      </c>
      <c r="L24" s="8" t="s">
        <v>227</v>
      </c>
      <c r="M24" s="6" t="s">
        <v>198</v>
      </c>
      <c r="N24" s="6" t="s">
        <v>28</v>
      </c>
    </row>
    <row r="25" spans="1:14" ht="60" customHeight="1" x14ac:dyDescent="0.3">
      <c r="A25" s="6" t="s">
        <v>108</v>
      </c>
      <c r="B25" s="7" t="s">
        <v>109</v>
      </c>
      <c r="C25" s="6" t="s">
        <v>110</v>
      </c>
      <c r="D25" s="7" t="s">
        <v>111</v>
      </c>
      <c r="E25" s="7" t="s">
        <v>112</v>
      </c>
      <c r="F25" s="6" t="s">
        <v>25</v>
      </c>
      <c r="G25" s="6" t="s">
        <v>26</v>
      </c>
      <c r="H25" s="7" t="s">
        <v>113</v>
      </c>
      <c r="I25" s="7" t="s">
        <v>114</v>
      </c>
      <c r="J25" s="7" t="s">
        <v>115</v>
      </c>
      <c r="K25" s="7" t="s">
        <v>230</v>
      </c>
      <c r="L25" s="8" t="s">
        <v>229</v>
      </c>
      <c r="M25" s="6" t="s">
        <v>198</v>
      </c>
      <c r="N25" s="6" t="s">
        <v>28</v>
      </c>
    </row>
    <row r="26" spans="1:14" ht="60" customHeight="1" x14ac:dyDescent="0.3">
      <c r="A26" s="6" t="s">
        <v>108</v>
      </c>
      <c r="B26" s="7" t="s">
        <v>109</v>
      </c>
      <c r="C26" s="6" t="s">
        <v>116</v>
      </c>
      <c r="D26" s="7" t="s">
        <v>117</v>
      </c>
      <c r="E26" s="7" t="s">
        <v>112</v>
      </c>
      <c r="F26" s="6" t="s">
        <v>25</v>
      </c>
      <c r="G26" s="6" t="s">
        <v>26</v>
      </c>
      <c r="H26" s="7" t="s">
        <v>118</v>
      </c>
      <c r="I26" s="7" t="s">
        <v>119</v>
      </c>
      <c r="J26" s="7" t="s">
        <v>120</v>
      </c>
      <c r="K26" s="7" t="s">
        <v>231</v>
      </c>
      <c r="L26" s="8" t="s">
        <v>232</v>
      </c>
      <c r="M26" s="6" t="s">
        <v>198</v>
      </c>
      <c r="N26" s="6" t="s">
        <v>28</v>
      </c>
    </row>
    <row r="27" spans="1:14" ht="72.75" customHeight="1" x14ac:dyDescent="0.3">
      <c r="A27" s="6" t="s">
        <v>108</v>
      </c>
      <c r="B27" s="7" t="s">
        <v>109</v>
      </c>
      <c r="C27" s="6" t="s">
        <v>121</v>
      </c>
      <c r="D27" s="7" t="s">
        <v>122</v>
      </c>
      <c r="E27" s="7" t="s">
        <v>112</v>
      </c>
      <c r="F27" s="6" t="s">
        <v>25</v>
      </c>
      <c r="G27" s="6" t="s">
        <v>26</v>
      </c>
      <c r="H27" s="7" t="s">
        <v>123</v>
      </c>
      <c r="I27" s="7" t="s">
        <v>124</v>
      </c>
      <c r="J27" s="7" t="s">
        <v>125</v>
      </c>
      <c r="K27" s="7" t="s">
        <v>234</v>
      </c>
      <c r="L27" s="8" t="s">
        <v>233</v>
      </c>
      <c r="M27" s="6" t="s">
        <v>198</v>
      </c>
      <c r="N27" s="6" t="s">
        <v>28</v>
      </c>
    </row>
    <row r="28" spans="1:14" ht="72.75" customHeight="1" x14ac:dyDescent="0.3">
      <c r="A28" s="6" t="s">
        <v>108</v>
      </c>
      <c r="B28" s="7" t="s">
        <v>109</v>
      </c>
      <c r="C28" s="6" t="s">
        <v>126</v>
      </c>
      <c r="D28" s="7" t="s">
        <v>127</v>
      </c>
      <c r="E28" s="7" t="s">
        <v>112</v>
      </c>
      <c r="F28" s="6" t="s">
        <v>25</v>
      </c>
      <c r="G28" s="6" t="s">
        <v>54</v>
      </c>
      <c r="H28" s="7" t="s">
        <v>128</v>
      </c>
      <c r="I28" s="7" t="s">
        <v>129</v>
      </c>
      <c r="J28" s="7" t="s">
        <v>130</v>
      </c>
      <c r="K28" s="7" t="s">
        <v>236</v>
      </c>
      <c r="L28" s="8" t="s">
        <v>235</v>
      </c>
      <c r="M28" s="6" t="s">
        <v>198</v>
      </c>
      <c r="N28" s="6" t="s">
        <v>28</v>
      </c>
    </row>
    <row r="29" spans="1:14" ht="60" customHeight="1" x14ac:dyDescent="0.3">
      <c r="A29" s="6" t="s">
        <v>108</v>
      </c>
      <c r="B29" s="7" t="s">
        <v>109</v>
      </c>
      <c r="C29" s="6" t="s">
        <v>131</v>
      </c>
      <c r="D29" s="7" t="s">
        <v>132</v>
      </c>
      <c r="E29" s="7" t="s">
        <v>112</v>
      </c>
      <c r="F29" s="6" t="s">
        <v>25</v>
      </c>
      <c r="G29" s="6" t="s">
        <v>54</v>
      </c>
      <c r="H29" s="7" t="s">
        <v>133</v>
      </c>
      <c r="I29" s="7" t="s">
        <v>134</v>
      </c>
      <c r="J29" s="7" t="s">
        <v>135</v>
      </c>
      <c r="K29" s="7" t="s">
        <v>238</v>
      </c>
      <c r="L29" s="8" t="s">
        <v>237</v>
      </c>
      <c r="M29" s="6" t="s">
        <v>198</v>
      </c>
      <c r="N29" s="6" t="s">
        <v>28</v>
      </c>
    </row>
    <row r="30" spans="1:14" ht="72.75" customHeight="1" x14ac:dyDescent="0.3">
      <c r="A30" s="6" t="s">
        <v>108</v>
      </c>
      <c r="B30" s="7" t="s">
        <v>109</v>
      </c>
      <c r="C30" s="6" t="s">
        <v>136</v>
      </c>
      <c r="D30" s="7" t="s">
        <v>137</v>
      </c>
      <c r="E30" s="7" t="s">
        <v>138</v>
      </c>
      <c r="F30" s="6" t="s">
        <v>25</v>
      </c>
      <c r="G30" s="6" t="s">
        <v>139</v>
      </c>
      <c r="H30" s="7" t="s">
        <v>140</v>
      </c>
      <c r="I30" s="7" t="s">
        <v>141</v>
      </c>
      <c r="J30" s="7" t="s">
        <v>142</v>
      </c>
      <c r="K30" s="7" t="s">
        <v>239</v>
      </c>
      <c r="L30" s="8" t="s">
        <v>240</v>
      </c>
      <c r="M30" s="6" t="s">
        <v>198</v>
      </c>
      <c r="N30" s="6" t="s">
        <v>28</v>
      </c>
    </row>
    <row r="31" spans="1:14" ht="46.5" customHeight="1" x14ac:dyDescent="0.3">
      <c r="A31" s="6" t="s">
        <v>108</v>
      </c>
      <c r="B31" s="7" t="s">
        <v>109</v>
      </c>
      <c r="C31" s="6" t="s">
        <v>143</v>
      </c>
      <c r="D31" s="7" t="s">
        <v>144</v>
      </c>
      <c r="E31" s="7" t="s">
        <v>145</v>
      </c>
      <c r="F31" s="6" t="s">
        <v>25</v>
      </c>
      <c r="G31" s="6" t="s">
        <v>54</v>
      </c>
      <c r="H31" s="7" t="s">
        <v>146</v>
      </c>
      <c r="I31" s="7" t="s">
        <v>147</v>
      </c>
      <c r="J31" s="7" t="s">
        <v>148</v>
      </c>
      <c r="K31" s="7" t="s">
        <v>242</v>
      </c>
      <c r="L31" s="8" t="s">
        <v>241</v>
      </c>
      <c r="M31" s="6" t="s">
        <v>198</v>
      </c>
      <c r="N31" s="6" t="s">
        <v>28</v>
      </c>
    </row>
    <row r="32" spans="1:14" ht="60" customHeight="1" x14ac:dyDescent="0.3">
      <c r="A32" s="6" t="s">
        <v>108</v>
      </c>
      <c r="B32" s="7" t="s">
        <v>109</v>
      </c>
      <c r="C32" s="6" t="s">
        <v>149</v>
      </c>
      <c r="D32" s="7" t="s">
        <v>150</v>
      </c>
      <c r="E32" s="7" t="s">
        <v>112</v>
      </c>
      <c r="F32" s="6" t="s">
        <v>41</v>
      </c>
      <c r="G32" s="6" t="s">
        <v>26</v>
      </c>
      <c r="H32" s="7" t="s">
        <v>151</v>
      </c>
      <c r="I32" s="7" t="s">
        <v>152</v>
      </c>
      <c r="J32" s="7" t="s">
        <v>153</v>
      </c>
      <c r="K32" s="7" t="s">
        <v>243</v>
      </c>
      <c r="L32" s="8" t="s">
        <v>244</v>
      </c>
      <c r="M32" s="6" t="s">
        <v>198</v>
      </c>
      <c r="N32" s="6" t="s">
        <v>28</v>
      </c>
    </row>
    <row r="33" spans="1:14" ht="46.5" customHeight="1" x14ac:dyDescent="0.3">
      <c r="A33" s="6" t="s">
        <v>108</v>
      </c>
      <c r="B33" s="7" t="s">
        <v>109</v>
      </c>
      <c r="C33" s="6" t="s">
        <v>154</v>
      </c>
      <c r="D33" s="7" t="s">
        <v>155</v>
      </c>
      <c r="E33" s="7" t="s">
        <v>112</v>
      </c>
      <c r="F33" s="6" t="s">
        <v>41</v>
      </c>
      <c r="G33" s="6" t="s">
        <v>26</v>
      </c>
      <c r="H33" s="7" t="s">
        <v>156</v>
      </c>
      <c r="I33" s="7" t="s">
        <v>157</v>
      </c>
      <c r="J33" s="7" t="s">
        <v>245</v>
      </c>
      <c r="K33" s="7" t="s">
        <v>245</v>
      </c>
      <c r="L33" s="8" t="s">
        <v>246</v>
      </c>
      <c r="M33" s="6" t="s">
        <v>198</v>
      </c>
      <c r="N33" s="6" t="s">
        <v>28</v>
      </c>
    </row>
    <row r="34" spans="1:14" ht="60" customHeight="1" x14ac:dyDescent="0.3">
      <c r="A34" s="6" t="s">
        <v>108</v>
      </c>
      <c r="B34" s="7" t="s">
        <v>109</v>
      </c>
      <c r="C34" s="6" t="s">
        <v>158</v>
      </c>
      <c r="D34" s="7" t="s">
        <v>159</v>
      </c>
      <c r="E34" s="7" t="s">
        <v>112</v>
      </c>
      <c r="F34" s="6" t="s">
        <v>41</v>
      </c>
      <c r="G34" s="6" t="s">
        <v>26</v>
      </c>
      <c r="H34" s="7" t="s">
        <v>160</v>
      </c>
      <c r="I34" s="7" t="s">
        <v>161</v>
      </c>
      <c r="J34" s="7" t="s">
        <v>245</v>
      </c>
      <c r="K34" s="7" t="s">
        <v>245</v>
      </c>
      <c r="L34" s="8" t="s">
        <v>248</v>
      </c>
      <c r="M34" s="6" t="s">
        <v>198</v>
      </c>
      <c r="N34" s="6" t="s">
        <v>28</v>
      </c>
    </row>
    <row r="35" spans="1:14" ht="46.5" customHeight="1" x14ac:dyDescent="0.3">
      <c r="A35" s="6" t="s">
        <v>108</v>
      </c>
      <c r="B35" s="7" t="s">
        <v>109</v>
      </c>
      <c r="C35" s="6" t="s">
        <v>162</v>
      </c>
      <c r="D35" s="7" t="s">
        <v>163</v>
      </c>
      <c r="E35" s="7" t="s">
        <v>112</v>
      </c>
      <c r="F35" s="6" t="s">
        <v>41</v>
      </c>
      <c r="G35" s="6" t="s">
        <v>26</v>
      </c>
      <c r="H35" s="7" t="s">
        <v>164</v>
      </c>
      <c r="I35" s="7" t="s">
        <v>165</v>
      </c>
      <c r="J35" s="7" t="s">
        <v>166</v>
      </c>
      <c r="K35" s="7" t="s">
        <v>250</v>
      </c>
      <c r="L35" s="8" t="s">
        <v>249</v>
      </c>
      <c r="M35" s="6" t="s">
        <v>198</v>
      </c>
      <c r="N35" s="6" t="s">
        <v>28</v>
      </c>
    </row>
    <row r="36" spans="1:14" ht="60" customHeight="1" x14ac:dyDescent="0.3">
      <c r="A36" s="6" t="s">
        <v>108</v>
      </c>
      <c r="B36" s="7" t="s">
        <v>109</v>
      </c>
      <c r="C36" s="6" t="s">
        <v>167</v>
      </c>
      <c r="D36" s="7" t="s">
        <v>168</v>
      </c>
      <c r="E36" s="7" t="s">
        <v>169</v>
      </c>
      <c r="F36" s="6" t="s">
        <v>41</v>
      </c>
      <c r="G36" s="6" t="s">
        <v>26</v>
      </c>
      <c r="H36" s="7" t="s">
        <v>170</v>
      </c>
      <c r="I36" s="7" t="s">
        <v>171</v>
      </c>
      <c r="J36" s="7" t="s">
        <v>172</v>
      </c>
      <c r="K36" s="7" t="s">
        <v>251</v>
      </c>
      <c r="L36" s="8" t="s">
        <v>252</v>
      </c>
      <c r="M36" s="6" t="s">
        <v>198</v>
      </c>
      <c r="N36" s="6" t="s">
        <v>28</v>
      </c>
    </row>
    <row r="37" spans="1:14" ht="46.5" customHeight="1" x14ac:dyDescent="0.3">
      <c r="A37" s="6" t="s">
        <v>108</v>
      </c>
      <c r="B37" s="7" t="s">
        <v>109</v>
      </c>
      <c r="C37" s="6" t="s">
        <v>173</v>
      </c>
      <c r="D37" s="7" t="s">
        <v>174</v>
      </c>
      <c r="E37" s="7" t="s">
        <v>112</v>
      </c>
      <c r="F37" s="6" t="s">
        <v>41</v>
      </c>
      <c r="G37" s="6" t="s">
        <v>54</v>
      </c>
      <c r="H37" s="7" t="s">
        <v>175</v>
      </c>
      <c r="I37" s="7" t="s">
        <v>176</v>
      </c>
      <c r="J37" s="7" t="s">
        <v>177</v>
      </c>
      <c r="K37" s="7" t="s">
        <v>253</v>
      </c>
      <c r="L37" s="8" t="s">
        <v>254</v>
      </c>
      <c r="M37" s="6" t="s">
        <v>198</v>
      </c>
      <c r="N37" s="6" t="s">
        <v>28</v>
      </c>
    </row>
    <row r="38" spans="1:14" ht="46.5" customHeight="1" x14ac:dyDescent="0.3">
      <c r="A38" s="6" t="s">
        <v>108</v>
      </c>
      <c r="B38" s="7" t="s">
        <v>109</v>
      </c>
      <c r="C38" s="6" t="s">
        <v>178</v>
      </c>
      <c r="D38" s="7" t="s">
        <v>179</v>
      </c>
      <c r="E38" s="7" t="s">
        <v>112</v>
      </c>
      <c r="F38" s="6" t="s">
        <v>41</v>
      </c>
      <c r="G38" s="6" t="s">
        <v>54</v>
      </c>
      <c r="H38" s="7" t="s">
        <v>180</v>
      </c>
      <c r="I38" s="7" t="s">
        <v>181</v>
      </c>
      <c r="J38" s="7" t="s">
        <v>182</v>
      </c>
      <c r="K38" s="7" t="s">
        <v>255</v>
      </c>
      <c r="L38" s="8" t="s">
        <v>256</v>
      </c>
      <c r="M38" s="6" t="s">
        <v>198</v>
      </c>
      <c r="N38" s="6" t="s">
        <v>28</v>
      </c>
    </row>
  </sheetData>
  <autoFilter ref="A5:N38" xr:uid="{00000000-0009-0000-0000-000000000000}"/>
  <conditionalFormatting sqref="M6:M38">
    <cfRule type="cellIs" dxfId="2" priority="2" operator="equal">
      <formula>"Passed"</formula>
    </cfRule>
    <cfRule type="cellIs" dxfId="1" priority="3" operator="equal">
      <formula>"Failed"</formula>
    </cfRule>
    <cfRule type="cellIs" dxfId="0" priority="4" operator="equal">
      <formula>"Blocked"</formula>
    </cfRule>
  </conditionalFormatting>
  <dataValidations count="3">
    <dataValidation type="list" sqref="M6:M38" xr:uid="{00000000-0002-0000-0000-000000000000}">
      <formula1>"Not Executed,Passed,Failed,Blocked"</formula1>
      <formula2>0</formula2>
    </dataValidation>
    <dataValidation type="list" sqref="F6:F38" xr:uid="{00000000-0002-0000-0000-000001000000}">
      <formula1>"Positive case,Negative case"</formula1>
      <formula2>0</formula2>
    </dataValidation>
    <dataValidation type="list" sqref="G6:G38" xr:uid="{00000000-0002-0000-0000-000002000000}">
      <formula1>"High,Medium,Low"</formula1>
      <formula2>0</formula2>
    </dataValidation>
  </dataValidations>
  <hyperlinks>
    <hyperlink ref="L6" r:id="rId1" xr:uid="{399AD371-00B2-4B10-8510-838E515366AF}"/>
    <hyperlink ref="L8" r:id="rId2" xr:uid="{1BB184FC-2623-4BBF-9D08-C49FDEDE852C}"/>
    <hyperlink ref="L9" r:id="rId3" xr:uid="{FC1D7AC9-4B71-4B20-A075-931828CB3893}"/>
    <hyperlink ref="L10" r:id="rId4" xr:uid="{2FBE85C1-B13F-45AD-8699-B377A8CC42BC}"/>
    <hyperlink ref="L11" r:id="rId5" xr:uid="{49E77763-876D-4E34-AE48-CD17C21B3274}"/>
    <hyperlink ref="L12" r:id="rId6" xr:uid="{6D2DDB52-D734-4B85-9466-D7EF6AA826DE}"/>
    <hyperlink ref="L13" r:id="rId7" xr:uid="{E9F36169-EEE8-4445-AB1A-7455F2E4F9EB}"/>
    <hyperlink ref="L14" r:id="rId8" xr:uid="{58F1DE8F-5F06-4B3C-B170-244116348936}"/>
    <hyperlink ref="L15" r:id="rId9" xr:uid="{2EFDC6B3-1EB8-4F39-986E-09B4E70D41D2}"/>
    <hyperlink ref="L16" r:id="rId10" xr:uid="{1B461F8E-52D0-4820-8D92-97B920CD3D18}"/>
    <hyperlink ref="L7" r:id="rId11" xr:uid="{457110E3-7426-4B2C-9C30-D997CF88CDA9}"/>
    <hyperlink ref="L17" r:id="rId12" xr:uid="{729D665C-3C45-40EB-A841-B8A604BFE3B4}"/>
    <hyperlink ref="L18" r:id="rId13" xr:uid="{6B98E62D-CE9F-4FC3-BECD-F4E9F94BE87B}"/>
    <hyperlink ref="L19" r:id="rId14" xr:uid="{D7CD75C0-4024-4EA2-BBB1-A0D3AC0C3D46}"/>
    <hyperlink ref="L21" r:id="rId15" xr:uid="{6E8B4E93-61F9-4681-8AC9-D91EA7D26684}"/>
    <hyperlink ref="L22" r:id="rId16" xr:uid="{DBE4F8BA-7B66-4488-8538-0D324E5B61A7}"/>
    <hyperlink ref="L23" r:id="rId17" xr:uid="{63A3B84A-3184-41B8-8579-865A47367B92}"/>
    <hyperlink ref="L20" r:id="rId18" xr:uid="{EBF55B31-69C0-4CD9-A62B-BB45E7A22CC7}"/>
    <hyperlink ref="L24" r:id="rId19" xr:uid="{C2959422-5134-49D5-9DCD-9D0F4A434908}"/>
    <hyperlink ref="L25" r:id="rId20" xr:uid="{9F24BE39-D2EF-4EBD-B335-8C95F0AC22C3}"/>
    <hyperlink ref="L26" r:id="rId21" xr:uid="{94C5227C-ABD9-42EC-A52E-AB3E30DFEB0E}"/>
    <hyperlink ref="L27" r:id="rId22" xr:uid="{E300ED97-1987-4D08-BDF4-268BE4F69F49}"/>
    <hyperlink ref="L28" r:id="rId23" xr:uid="{761102A1-0FC3-4DB7-B38D-58F0BC9E7EB8}"/>
    <hyperlink ref="L29" r:id="rId24" xr:uid="{2603B405-0397-40A8-8A82-27A4A0F7165C}"/>
    <hyperlink ref="L30" r:id="rId25" xr:uid="{18131F45-EB6C-4472-A585-6DEE32373368}"/>
    <hyperlink ref="L31" r:id="rId26" xr:uid="{A078A636-2D9E-4FE6-8E89-1F70EF2C01AB}"/>
    <hyperlink ref="L32" r:id="rId27" xr:uid="{B8526F3F-CE27-423D-8C6C-F4F7B9A67DC3}"/>
    <hyperlink ref="L33" r:id="rId28" xr:uid="{11BDDD6C-EA12-4CB2-A232-CB1A33155A68}"/>
    <hyperlink ref="L34" r:id="rId29" xr:uid="{DA41F3EA-E17E-4297-8B7D-13A96DEEF0F4}"/>
    <hyperlink ref="L35" r:id="rId30" xr:uid="{ABB4B283-E577-49B4-864B-17AD61B9019D}"/>
    <hyperlink ref="L36" r:id="rId31" xr:uid="{A691B7F2-66BC-46CC-B4A9-5FEA8C487D0D}"/>
    <hyperlink ref="L38" r:id="rId32" xr:uid="{19991C16-7A63-4DBE-A06E-9EAF573EEBD5}"/>
    <hyperlink ref="L37" r:id="rId33" xr:uid="{758BF1D9-A860-4C57-B583-EE1E325C0F67}"/>
  </hyperlink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Test Case</vt:lpstr>
      <vt:lpstr>'Test Case'!Print_Titles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MARSHANDA</dc:creator>
  <dc:description/>
  <cp:lastModifiedBy>User</cp:lastModifiedBy>
  <cp:revision>0</cp:revision>
  <dcterms:created xsi:type="dcterms:W3CDTF">2026-10-13T14:53:21Z</dcterms:created>
  <dcterms:modified xsi:type="dcterms:W3CDTF">2026-10-14T03:57:59Z</dcterms:modified>
  <dc:language>en-US</dc:language>
</cp:coreProperties>
</file>