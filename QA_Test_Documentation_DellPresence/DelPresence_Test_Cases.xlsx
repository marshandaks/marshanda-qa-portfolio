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porto qa\QA_Test_DellPresence\"/>
    </mc:Choice>
  </mc:AlternateContent>
  <xr:revisionPtr revIDLastSave="0" documentId="13_ncr:1_{BF629F2C-6BD3-452A-B3D8-F671EF4FA3F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ver" sheetId="1" r:id="rId1"/>
    <sheet name="Manual TC" sheetId="2" r:id="rId2"/>
    <sheet name="Automation TC" sheetId="3" r:id="rId3"/>
    <sheet name="NFT JMeter" sheetId="4" r:id="rId4"/>
  </sheets>
  <definedNames>
    <definedName name="_xlnm._FilterDatabase" localSheetId="2" hidden="1">'Automation TC'!$A$4:$Q$33</definedName>
    <definedName name="_xlnm._FilterDatabase" localSheetId="1" hidden="1">'Manual TC'!$A$4:$R$37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9" i="4" l="1"/>
  <c r="H19" i="4"/>
  <c r="G19" i="4"/>
  <c r="E19" i="4"/>
  <c r="J19" i="4" s="1"/>
  <c r="P18" i="4"/>
  <c r="O18" i="4"/>
  <c r="P17" i="4"/>
  <c r="O17" i="4"/>
  <c r="P16" i="4"/>
  <c r="O16" i="4"/>
  <c r="P15" i="4"/>
  <c r="O15" i="4"/>
  <c r="P14" i="4"/>
  <c r="O14" i="4"/>
  <c r="P13" i="4"/>
  <c r="O13" i="4"/>
  <c r="P12" i="4"/>
  <c r="O12" i="4"/>
  <c r="P11" i="4"/>
  <c r="O11" i="4"/>
  <c r="P10" i="4"/>
  <c r="O10" i="4"/>
  <c r="P9" i="4"/>
  <c r="O9" i="4"/>
  <c r="P8" i="4"/>
  <c r="O8" i="4"/>
  <c r="P7" i="4"/>
  <c r="O7" i="4"/>
  <c r="P6" i="4"/>
  <c r="O6" i="4"/>
  <c r="P5" i="4"/>
  <c r="F18" i="1" s="1"/>
  <c r="O5" i="4"/>
  <c r="G18" i="1"/>
  <c r="G17" i="1"/>
  <c r="F17" i="1"/>
  <c r="E17" i="1"/>
  <c r="D17" i="1"/>
  <c r="H17" i="1" s="1"/>
  <c r="G16" i="1"/>
  <c r="G19" i="1" s="1"/>
  <c r="F16" i="1"/>
  <c r="E16" i="1"/>
  <c r="E19" i="1" s="1"/>
  <c r="D16" i="1"/>
  <c r="H16" i="1" l="1"/>
  <c r="F19" i="1"/>
  <c r="D19" i="1"/>
  <c r="H19" i="1" s="1"/>
  <c r="F19" i="4"/>
  <c r="O19" i="4" s="1"/>
  <c r="D18" i="1"/>
  <c r="P19" i="4"/>
  <c r="E18" i="1"/>
  <c r="H18" i="1" l="1"/>
</calcChain>
</file>

<file path=xl/sharedStrings.xml><?xml version="1.0" encoding="utf-8"?>
<sst xmlns="http://schemas.openxmlformats.org/spreadsheetml/2006/main" count="1096" uniqueCount="556">
  <si>
    <t>TEST CASE &amp; EXECUTION RECORD</t>
  </si>
  <si>
    <t>DelPresence – Sistem Presensi Digital Terintegrasi</t>
  </si>
  <si>
    <t>Document ID</t>
  </si>
  <si>
    <t>DP-QA-TC-001</t>
  </si>
  <si>
    <t>Version</t>
  </si>
  <si>
    <t>1.0</t>
  </si>
  <si>
    <t>Prepared by</t>
  </si>
  <si>
    <t>Marshanda Simangunsong (QA Engineer)</t>
  </si>
  <si>
    <t>Test period</t>
  </si>
  <si>
    <t>05 Mei 2025 – 14 Mei 2025</t>
  </si>
  <si>
    <t>Application under test</t>
  </si>
  <si>
    <t>DelPresence Web (Admin, Dosen, Asisten Dosen) &amp; DelPresence Mobile (Mahasiswa)</t>
  </si>
  <si>
    <t>Test environment</t>
  </si>
  <si>
    <t>Chrome (Cypress runner) · Web http://localhost:3000 · API http://localhost:8080 · Mobile: perangkat Android uji</t>
  </si>
  <si>
    <t>Tools</t>
  </si>
  <si>
    <t>Manual (spreadsheet) · Cypress (UI automation) · Apache JMeter (performance)</t>
  </si>
  <si>
    <t>Source of requirements</t>
  </si>
  <si>
    <t>Dokumen BAB V – Product Testing (butir uji BU-01 s.d. BU-29)</t>
  </si>
  <si>
    <t>EXECUTION SUMMARY</t>
  </si>
  <si>
    <t>Test Type</t>
  </si>
  <si>
    <t>Sheet</t>
  </si>
  <si>
    <t>Total</t>
  </si>
  <si>
    <t>Pass</t>
  </si>
  <si>
    <t>Fail</t>
  </si>
  <si>
    <t>Not Run</t>
  </si>
  <si>
    <t>Pass Rate</t>
  </si>
  <si>
    <t>Manual Testing (Functional)</t>
  </si>
  <si>
    <t>Manual TC</t>
  </si>
  <si>
    <t>Automation (Cypress – UI)</t>
  </si>
  <si>
    <t>Automation TC</t>
  </si>
  <si>
    <t>Non-Functional (JMeter – Performance)</t>
  </si>
  <si>
    <t>NFT JMeter</t>
  </si>
  <si>
    <t>TOTAL FUNCTIONAL (Manual + Automation)</t>
  </si>
  <si>
    <t>LEGENDA</t>
  </si>
  <si>
    <t>Hasil aktual sesuai hasil yang diharapkan</t>
  </si>
  <si>
    <t>Hasil aktual tidak sesuai; dicatat pada Bug Report (kolom Bug ID)</t>
  </si>
  <si>
    <t>Test case belum dieksekusi</t>
  </si>
  <si>
    <t>Priority</t>
  </si>
  <si>
    <t>High = fungsi inti / risiko tinggi · Medium = fungsi pendukung · Low = kosmetik / jarang dipakai</t>
  </si>
  <si>
    <t>Catatan</t>
  </si>
  <si>
    <t>Baris JMeter dihitung per endpoint dan tidak dimasukkan ke total fungsional. Hasil performa mengacu pada target SLA pada sheet 'NFT JMeter' (sel input berwarna biru)</t>
  </si>
  <si>
    <t>MANUAL TEST CASES</t>
  </si>
  <si>
    <t>TC ID</t>
  </si>
  <si>
    <t>Module</t>
  </si>
  <si>
    <t>Platform</t>
  </si>
  <si>
    <t>Role</t>
  </si>
  <si>
    <t>Test Case Title</t>
  </si>
  <si>
    <t>Type</t>
  </si>
  <si>
    <t>Pre-condition</t>
  </si>
  <si>
    <t>Test Steps</t>
  </si>
  <si>
    <t>Test Data</t>
  </si>
  <si>
    <t>Expected Result</t>
  </si>
  <si>
    <t>Actual Result</t>
  </si>
  <si>
    <t>Ref (BU)</t>
  </si>
  <si>
    <t>Status</t>
  </si>
  <si>
    <t>Bug ID</t>
  </si>
  <si>
    <t>Remarks</t>
  </si>
  <si>
    <t>Tested By</t>
  </si>
  <si>
    <t>Test Date</t>
  </si>
  <si>
    <t>MTC-AUTH-001</t>
  </si>
  <si>
    <t>Autentikasi</t>
  </si>
  <si>
    <t>Web</t>
  </si>
  <si>
    <t>Admin</t>
  </si>
  <si>
    <t>Login dengan kredensial valid</t>
  </si>
  <si>
    <t>Positive</t>
  </si>
  <si>
    <t>High</t>
  </si>
  <si>
    <t>Akun Admin terdaftar; aplikasi web dapat diakses di http://localhost:3000</t>
  </si>
  <si>
    <t>1. Buka halaman /login
2. Isi Username dengan akun valid
3. Isi Password dengan password valid
4. Klik tombol Login</t>
  </si>
  <si>
    <t>Username: admin | Password: (valid)</t>
  </si>
  <si>
    <t>Sistem mengautentikasi dan mengarahkan ke halaman Dashboard</t>
  </si>
  <si>
    <t>BU-01</t>
  </si>
  <si>
    <t>BUG-011</t>
  </si>
  <si>
    <t>Lulus. Observasi: lihat BUG-011 (request campus login 500 sebelum fallback).</t>
  </si>
  <si>
    <t>Marshanda Simangunsong</t>
  </si>
  <si>
    <t>MTC-AUTH-002</t>
  </si>
  <si>
    <t>Login dengan kredensial tidak valid</t>
  </si>
  <si>
    <t>Negative</t>
  </si>
  <si>
    <t>1. Buka halaman /login
2. Isi Username/Password dengan data tidak terdaftar
3. Klik tombol Login</t>
  </si>
  <si>
    <t>Username: tidak_ada | Password: salah123</t>
  </si>
  <si>
    <t>Login ditolak, muncul pesan kesalahan, user tetap di halaman login</t>
  </si>
  <si>
    <t>BU-02</t>
  </si>
  <si>
    <t>MTC-AUTH-003</t>
  </si>
  <si>
    <t>Login dengan menekan tombol Enter</t>
  </si>
  <si>
    <t>Medium</t>
  </si>
  <si>
    <t>1. Buka halaman /login
2. Isi Username dan Password valid
3. Tekan tombol Enter pada keyboard (tanpa klik tombol Login)</t>
  </si>
  <si>
    <t>Form ter-submit dan user masuk ke Dashboard</t>
  </si>
  <si>
    <t>BUG-001</t>
  </si>
  <si>
    <t>Gagal pada eksekusi awal (BUG-001); lulus pada retest 20 Mei 2025.</t>
  </si>
  <si>
    <t>MTC-AUTH-004</t>
  </si>
  <si>
    <t>Admin / Dosen / Asisten Dosen</t>
  </si>
  <si>
    <t>Logout dari sistem</t>
  </si>
  <si>
    <t>User sudah login</t>
  </si>
  <si>
    <t>1. Klik menu profil pada header
2. Klik Logout</t>
  </si>
  <si>
    <t>-</t>
  </si>
  <si>
    <t>Sesi berakhir dan user diarahkan ke halaman login</t>
  </si>
  <si>
    <t>BU-15</t>
  </si>
  <si>
    <t>MTC-FAC-001</t>
  </si>
  <si>
    <t>Data Fakultas</t>
  </si>
  <si>
    <t>Tambah data fakultas dengan data valid</t>
  </si>
  <si>
    <t>Admin sudah login; membuka menu Fakultas</t>
  </si>
  <si>
    <t>1. Klik menu Fakultas pada sidebar
2. Klik Tambah Fakultas
3. Isi Kode, Nama, Dekan, Tahun Pendirian, Jumlah Dosen
4. Klik Simpan</t>
  </si>
  <si>
    <t>Kode: FITE | Nama: Fakultas Informatika dan Teknik Elektro</t>
  </si>
  <si>
    <t>Data tersimpan dan tampil pada tabel Fakultas</t>
  </si>
  <si>
    <t>BU-03</t>
  </si>
  <si>
    <t>MTC-FAC-002</t>
  </si>
  <si>
    <t>Tambah fakultas dengan field wajib kosong</t>
  </si>
  <si>
    <t>Admin sudah login; membuka form Tambah Fakultas</t>
  </si>
  <si>
    <t>1. Klik Tambah Fakultas
2. Kosongkan sebagian field wajib
3. Klik Simpan</t>
  </si>
  <si>
    <t>Kode: (kosong)</t>
  </si>
  <si>
    <t>Data tidak tersimpan; pesan peringatan muncul pada field wajib</t>
  </si>
  <si>
    <t>MTC-FAC-003</t>
  </si>
  <si>
    <t>Ubah data fakultas</t>
  </si>
  <si>
    <t>Admin sudah login; terdapat minimal 1 data fakultas</t>
  </si>
  <si>
    <t>1. Klik tombol aksi pada baris data
2. Pilih Edit
3. Ubah nilai Nama Fakultas
4. Klik Perbarui</t>
  </si>
  <si>
    <t>Nama: (diubah)</t>
  </si>
  <si>
    <t>Muncul pesan 'Fakultas berhasil diperbarui' dan data berubah di tabel</t>
  </si>
  <si>
    <t>BUG-010</t>
  </si>
  <si>
    <t>Observasi label tombol tidak konsisten (BUG-010, sudah diperbaiki).</t>
  </si>
  <si>
    <t>MTC-FAC-004</t>
  </si>
  <si>
    <t>Hapus data fakultas tanpa relasi</t>
  </si>
  <si>
    <t>Admin sudah login; terdapat fakultas yang belum memiliki Program Studi</t>
  </si>
  <si>
    <t>1. Klik tombol aksi pada baris data
2. Pilih Hapus
3. Klik Hapus pada dialog konfirmasi</t>
  </si>
  <si>
    <t>Muncul pesan 'Fakultas berhasil dihapus' dan data hilang dari tabel</t>
  </si>
  <si>
    <t>MTC-FAC-005</t>
  </si>
  <si>
    <t>Hapus fakultas yang masih memiliki Program Studi</t>
  </si>
  <si>
    <t>Admin sudah login; fakultas memiliki Program Studi terkait</t>
  </si>
  <si>
    <t>1. Klik tombol aksi pada fakultas yang memiliki relasi
2. Pilih Hapus
3. Konfirmasi hapus</t>
  </si>
  <si>
    <t>Penghapusan ditolak dengan pesan yang jelas bagi pengguna</t>
  </si>
  <si>
    <t>BUG-002</t>
  </si>
  <si>
    <t>Awalnya muncul pesan teknis 'Internal Server Error' (BUG-002); lulus pada retest 21 Mei 2025.</t>
  </si>
  <si>
    <t>MTC-PRG-001</t>
  </si>
  <si>
    <t>Program Studi</t>
  </si>
  <si>
    <t>Tambah program studi dengan data valid</t>
  </si>
  <si>
    <t>Admin sudah login; membuka menu Program Studi</t>
  </si>
  <si>
    <t>1. Klik menu Program Studi
2. Klik Tambah Program Studi
3. Isi Kode, Nama, Fakultas, Jenjang, Akreditasi, Ketua Prodi, Status
4. Klik Simpan</t>
  </si>
  <si>
    <t>Kode: IF | Jenjang: S1 | Akreditasi: Unggul</t>
  </si>
  <si>
    <t>Program studi tersimpan dan tampil pada tabel</t>
  </si>
  <si>
    <t>BU-04</t>
  </si>
  <si>
    <t>MTC-PRG-002</t>
  </si>
  <si>
    <t>Hapus program studi</t>
  </si>
  <si>
    <t>Admin sudah login; terdapat data Program Studi</t>
  </si>
  <si>
    <t>1. Klik tombol aksi pada baris data
2. Pilih Hapus
3. Konfirmasi hapus</t>
  </si>
  <si>
    <t>Muncul pesan 'Program studi berhasil dihapus'</t>
  </si>
  <si>
    <t>MTC-BLD-001</t>
  </si>
  <si>
    <t>Data Gedung</t>
  </si>
  <si>
    <t>Tambah gedung dengan data valid</t>
  </si>
  <si>
    <t>Admin sudah login; membuka menu Gedung</t>
  </si>
  <si>
    <t>1. Klik menu Gedung
2. Klik Tambah Gedung
3. Isi Kode, Nama, Jumlah Lantai
4. Klik Simpan</t>
  </si>
  <si>
    <t>Kode: GD9 | Nama: Gedung 9 | Lantai: 4</t>
  </si>
  <si>
    <t>Gedung tersimpan dan tampil pada tabel</t>
  </si>
  <si>
    <t>BU-05</t>
  </si>
  <si>
    <t>MTC-BLD-002</t>
  </si>
  <si>
    <t>Tambah gedung dengan Jumlah Lantai bernilai negatif</t>
  </si>
  <si>
    <t>Admin sudah login; membuka form Tambah Gedung</t>
  </si>
  <si>
    <t>1. Klik Tambah Gedung
2. Isi Jumlah Lantai dengan -3
3. Klik Simpan</t>
  </si>
  <si>
    <t>Lantai: -3</t>
  </si>
  <si>
    <t>Input ditolak dengan pesan validasi</t>
  </si>
  <si>
    <t>Data tersimpan dengan lantai -3. Perbaikan sudah di-deploy, menunggu retest.</t>
  </si>
  <si>
    <t>BUG-003</t>
  </si>
  <si>
    <t>MTC-RMS-001</t>
  </si>
  <si>
    <t>Data Ruangan</t>
  </si>
  <si>
    <t>Tambah ruangan dengan data valid</t>
  </si>
  <si>
    <t>Admin sudah login; membuka menu Ruangan</t>
  </si>
  <si>
    <t>1. Klik menu Ruangan
2. Klik Tambah Ruangan
3. Isi Kode, Nama, Gedung, Lantai, Kapasitas
4. Klik Simpan</t>
  </si>
  <si>
    <t>Kode: R-301 | Kapasitas: 40</t>
  </si>
  <si>
    <t>Ruangan tersimpan dan tampil pada tabel</t>
  </si>
  <si>
    <t>BU-06</t>
  </si>
  <si>
    <t>MTC-RMS-002</t>
  </si>
  <si>
    <t>Tambah ruangan dengan Kapasitas bernilai negatif</t>
  </si>
  <si>
    <t>Admin sudah login; membuka form Tambah Ruangan</t>
  </si>
  <si>
    <t>1. Klik Tambah Ruangan
2. Isi Kapasitas dengan -10
3. Klik Simpan</t>
  </si>
  <si>
    <t>Kapasitas: -10</t>
  </si>
  <si>
    <t>Data tersimpan dengan kapasitas negatif.</t>
  </si>
  <si>
    <t>BUG-004</t>
  </si>
  <si>
    <t>MTC-ACY-001</t>
  </si>
  <si>
    <t>Tahun Akademik</t>
  </si>
  <si>
    <t>Tambah tahun akademik dengan tanggal valid</t>
  </si>
  <si>
    <t>Admin sudah login; membuka menu Tahun Akademik</t>
  </si>
  <si>
    <t>1. Klik menu Tahun Akademik
2. Klik Tambah Tahun Akademik
3. Isi Nama, Semester, Tanggal Mulai, Tanggal Selesai
4. Klik Simpan</t>
  </si>
  <si>
    <t>2025/2026 | Ganjil | 01-08-2025 s/d 31-01-2026</t>
  </si>
  <si>
    <t>Data tersimpan dan tampil pada tabel</t>
  </si>
  <si>
    <t>BU-07</t>
  </si>
  <si>
    <t>MTC-ACY-002</t>
  </si>
  <si>
    <t>Tanggal Selesai lebih awal dari Tanggal Mulai</t>
  </si>
  <si>
    <t>Admin sudah login; membuka form Tambah Tahun Akademik</t>
  </si>
  <si>
    <t>1. Klik Tambah Tahun Akademik
2. Isi Tanggal Mulai 01-08-2025 dan Tanggal Selesai 01-07-2025
3. Klik Simpan</t>
  </si>
  <si>
    <t>Mulai: 01-08-2025 | Selesai: 01-07-2025</t>
  </si>
  <si>
    <t>Input ditolak; muncul pesan tanggal selesai harus setelah tanggal mulai</t>
  </si>
  <si>
    <t>BUG-005</t>
  </si>
  <si>
    <t>Awalnya data tersimpan (BUG-005); lulus pada retest 20 Mei 2025.</t>
  </si>
  <si>
    <t>MTC-CRS-001</t>
  </si>
  <si>
    <t>Mata Kuliah</t>
  </si>
  <si>
    <t>Tambah mata kuliah dengan SKS di bawah batas minimum</t>
  </si>
  <si>
    <t>Admin sudah login; membuka menu Mata Kuliah</t>
  </si>
  <si>
    <t>1. Klik menu Mata Kuliah
2. Klik Tambah Mata Kuliah
3. Isi Kode MK002 dan SKS = 0
4. Klik Simpan</t>
  </si>
  <si>
    <t>SKS: 0</t>
  </si>
  <si>
    <t>Form menolak input; muncul pesan 'Value must be greater than or equal to 1'</t>
  </si>
  <si>
    <t>BU-08</t>
  </si>
  <si>
    <t>Validasi muncul dari sisi browser (HTML5); validasi sisi server belum diuji.</t>
  </si>
  <si>
    <t>MTC-SCH-001</t>
  </si>
  <si>
    <t>Jadwal Perkuliahan</t>
  </si>
  <si>
    <t>Tambah jadwal perkuliahan</t>
  </si>
  <si>
    <t>Admin sudah login; data Mata Kuliah, Dosen, dan Ruangan tersedia</t>
  </si>
  <si>
    <t>1. Klik menu Jadwal Perkuliahan
2. Klik Tambah Jadwal
3. Pilih Mata Kuliah, Kelompok, Ruangan, Hari, dan Jam
4. Klik Simpan</t>
  </si>
  <si>
    <t>Hari: Senin | 08.00-10.00</t>
  </si>
  <si>
    <t>Jadwal tersimpan dan tampil pada tabel</t>
  </si>
  <si>
    <t>BU-10</t>
  </si>
  <si>
    <t>MTC-IMP-001</t>
  </si>
  <si>
    <t>Impor Data</t>
  </si>
  <si>
    <t>Sinkronisasi data dosen dari CIS</t>
  </si>
  <si>
    <t>Admin sudah login; layanan CIS dapat diakses</t>
  </si>
  <si>
    <t>1. Klik menu Daftar Dosen
2. Klik Sinkronisasi Data Dosen</t>
  </si>
  <si>
    <t>Data dosen tersinkronisasi dan tampil pada daftar</t>
  </si>
  <si>
    <t>BU-11</t>
  </si>
  <si>
    <t>MTC-IMP-002</t>
  </si>
  <si>
    <t>Sinkronisasi data mahasiswa dari CIS</t>
  </si>
  <si>
    <t>1. Klik menu Daftar Mahasiswa
2. Klik Sinkronisasi Data Mahasiswa</t>
  </si>
  <si>
    <t>Data mahasiswa tersinkronisasi dan tampil pada daftar</t>
  </si>
  <si>
    <t>BU-13</t>
  </si>
  <si>
    <t>MTC-LEC-001</t>
  </si>
  <si>
    <t>Dosen</t>
  </si>
  <si>
    <t>Melihat daftar mata kuliah yang diampu</t>
  </si>
  <si>
    <t>Dosen sudah login</t>
  </si>
  <si>
    <t>1. Klik menu Mata Kuliah Saya</t>
  </si>
  <si>
    <t>Daftar mata kuliah yang diampu tampil</t>
  </si>
  <si>
    <t>BU-16</t>
  </si>
  <si>
    <t>MTC-LEC-002</t>
  </si>
  <si>
    <t>Presensi</t>
  </si>
  <si>
    <t>Memulai sesi presensi dengan metode QR Code</t>
  </si>
  <si>
    <t>Dosen sudah login; ada kelas aktif</t>
  </si>
  <si>
    <t>1. Klik menu Kelola Presensi
2. Klik Mulai Presensi
3. Pilih metode QR Code
4. Klik Mulai Sesi</t>
  </si>
  <si>
    <t>Metode: QR Code</t>
  </si>
  <si>
    <t>Sesi presensi aktif dimulai dan QR Code tersedia untuk dipindai</t>
  </si>
  <si>
    <t>BU-18</t>
  </si>
  <si>
    <t>MTC-LEC-003</t>
  </si>
  <si>
    <t>Klik 'Mulai Sesi' dua kali berturut-turut</t>
  </si>
  <si>
    <t>1. Buka dialog Mulai Presensi
2. Pilih QR Code
3. Klik Mulai Sesi dua kali dengan cepat</t>
  </si>
  <si>
    <t>Hanya satu sesi presensi yang dibuat</t>
  </si>
  <si>
    <t>Terbentuk dua sesi aktif untuk kelas yang sama.</t>
  </si>
  <si>
    <t>BUG-007</t>
  </si>
  <si>
    <t>MTC-LEC-004</t>
  </si>
  <si>
    <t>Asisten Dosen</t>
  </si>
  <si>
    <t>Menambahkan asisten dosen pada mata kuliah</t>
  </si>
  <si>
    <t>1. Klik menu Kelola Asisten Dosen
2. Klik Tambah Asisten
3. Pilih mahasiswa dan mata kuliah
4. Klik Simpan</t>
  </si>
  <si>
    <t>Asisten dosen tampil pada daftar asisten</t>
  </si>
  <si>
    <t>BU-19</t>
  </si>
  <si>
    <t>MTC-AST-001</t>
  </si>
  <si>
    <t>Memulai sesi presensi sebagai asisten dosen</t>
  </si>
  <si>
    <t>Asisten dosen sudah login</t>
  </si>
  <si>
    <t>1. Klik menu Kelola Presensi
2. Klik Mulai Presensi
3. Pilih metode dan klik Mulai Sesi</t>
  </si>
  <si>
    <t>Sesi presensi aktif dimulai</t>
  </si>
  <si>
    <t>BU-21</t>
  </si>
  <si>
    <t>MTC-MOB-001</t>
  </si>
  <si>
    <t>Jadwal &amp; Riwayat</t>
  </si>
  <si>
    <t>Mobile</t>
  </si>
  <si>
    <t>Mahasiswa</t>
  </si>
  <si>
    <t>Melihat riwayat absensi</t>
  </si>
  <si>
    <t>Mahasiswa sudah login pada aplikasi mobile</t>
  </si>
  <si>
    <t>1. Buka menu Riwayat Absensi</t>
  </si>
  <si>
    <t>Riwayat absensi mahasiswa tampil</t>
  </si>
  <si>
    <t>BU-24</t>
  </si>
  <si>
    <t>MTC-MOB-002</t>
  </si>
  <si>
    <t>Registrasi Wajah</t>
  </si>
  <si>
    <t>Mendaftarkan wajah</t>
  </si>
  <si>
    <t>Mahasiswa sudah login; izin kamera aktif</t>
  </si>
  <si>
    <t>1. Buka Pengaturan
2. Klik Daftarkan Wajah
3. Klik Lanjutkan pada popup catatan
4. Arahkan wajah ke kamera selama 5 detik</t>
  </si>
  <si>
    <t>Muncul notifikasi 'Berhasil'</t>
  </si>
  <si>
    <t>BU-25</t>
  </si>
  <si>
    <t>BUG-009</t>
  </si>
  <si>
    <t>Lulus. Observasi: hitung mundur tidak reset (BUG-009).</t>
  </si>
  <si>
    <t>MTC-MOB-003</t>
  </si>
  <si>
    <t>Absensi dengan scan QR yang valid</t>
  </si>
  <si>
    <t>Mahasiswa sudah login; sesi QR aktif</t>
  </si>
  <si>
    <t>1. Klik ikon Absensi
2. Pilih Scan QR
3. Pindai QR dari dosen
4. Klik Kirim</t>
  </si>
  <si>
    <t>QR sesi aktif</t>
  </si>
  <si>
    <t>Muncul notifikasi 'Absensi berhasil'</t>
  </si>
  <si>
    <t>BU-26</t>
  </si>
  <si>
    <t>MTC-MOB-004</t>
  </si>
  <si>
    <t>Absensi dengan QR dari sesi yang sudah berakhir</t>
  </si>
  <si>
    <t>Mahasiswa sudah login; sesi presensi sudah ditutup dosen</t>
  </si>
  <si>
    <t>1. Klik ikon Absensi
2. Pilih Scan QR
3. Pindai QR dari sesi yang sudah ditutup
4. Klik Kirim</t>
  </si>
  <si>
    <t>QR sesi kedaluwarsa</t>
  </si>
  <si>
    <t>Absensi ditolak dengan pesan 'QR tidak valid / sesi berakhir'</t>
  </si>
  <si>
    <t>Absensi tetap tercatat berhasil.</t>
  </si>
  <si>
    <t>BUG-008</t>
  </si>
  <si>
    <t>MTC-MOB-005</t>
  </si>
  <si>
    <t>Absensi dengan Face Recognition</t>
  </si>
  <si>
    <t>Mahasiswa sudah login; wajah sudah terdaftar; sesi aktif</t>
  </si>
  <si>
    <t>1. Klik ikon Absensi
2. Pilih Face Recognition
3. Klik Absen Sekarang pada mata kuliah berlangsung
4. Arahkan wajah ke kamera</t>
  </si>
  <si>
    <t>Wajah terverifikasi dan muncul notifikasi 'Berhasil'</t>
  </si>
  <si>
    <t>BU-27</t>
  </si>
  <si>
    <t>MTC-MOB-006</t>
  </si>
  <si>
    <t>Logout dari aplikasi mobile</t>
  </si>
  <si>
    <t>Low</t>
  </si>
  <si>
    <t>Mahasiswa sudah login</t>
  </si>
  <si>
    <t>1. Buka Pengaturan
2. Klik Logout</t>
  </si>
  <si>
    <t>Sesi berakhir dan kembali ke halaman login</t>
  </si>
  <si>
    <t>BU-28</t>
  </si>
  <si>
    <t>MTC-MOB-007</t>
  </si>
  <si>
    <t>Melihat jadwal perkuliahan dan mata kuliah</t>
  </si>
  <si>
    <t>1. Klik ikon Mata Kuliah
2. Buka menu Jadwal</t>
  </si>
  <si>
    <t>Daftar mata kuliah dan jadwal tampil sesuai data semester berjalan</t>
  </si>
  <si>
    <t>BU-23 / BU-29</t>
  </si>
  <si>
    <t>AUTOMATION TEST CASES – CYPRESS (WEB UI)</t>
  </si>
  <si>
    <t>Auto ID</t>
  </si>
  <si>
    <t>Ref (BAB V)</t>
  </si>
  <si>
    <t>Spec File</t>
  </si>
  <si>
    <t>Scenario</t>
  </si>
  <si>
    <t>Automation Steps</t>
  </si>
  <si>
    <t>Run Count</t>
  </si>
  <si>
    <t>Result</t>
  </si>
  <si>
    <t>Duration (s)</t>
  </si>
  <si>
    <t>Evidence</t>
  </si>
  <si>
    <t>Executed By</t>
  </si>
  <si>
    <t>Execution Date</t>
  </si>
  <si>
    <t>AUT-001</t>
  </si>
  <si>
    <t>Tabel 5.30</t>
  </si>
  <si>
    <t>logintest.cy.js</t>
  </si>
  <si>
    <t>Login dengan akun valid</t>
  </si>
  <si>
    <t>Akun admin terdaftar</t>
  </si>
  <si>
    <t>visit /login → type username &amp; password → click submit → assert URL /dashboard</t>
  </si>
  <si>
    <t>Redirect ke /dashboard</t>
  </si>
  <si>
    <t>Fig. 1</t>
  </si>
  <si>
    <t>AUT-002</t>
  </si>
  <si>
    <t>Login dengan akun tidak valid</t>
  </si>
  <si>
    <t>visit /login → type data invalid → click submit → assert tetap di /login</t>
  </si>
  <si>
    <t>Tetap di halaman login</t>
  </si>
  <si>
    <t>AUT-003</t>
  </si>
  <si>
    <t>Tabel 5.31</t>
  </si>
  <si>
    <t>managetest.cy.js</t>
  </si>
  <si>
    <t>Tambah mata kuliah dengan data valid</t>
  </si>
  <si>
    <t>Admin login</t>
  </si>
  <si>
    <t>visit /dashboard/courses/manage → klik Tambah → isi form → submit → assert baris baru</t>
  </si>
  <si>
    <t>Data tampil di tabel</t>
  </si>
  <si>
    <t>AUT-004</t>
  </si>
  <si>
    <t>Tambah mata kuliah dengan input tidak valid (SKS = 0)</t>
  </si>
  <si>
    <t>isi SKS = 0 → submit → assert pesan validasi</t>
  </si>
  <si>
    <t>Pesan 'Value must be greater than or equal to 1'</t>
  </si>
  <si>
    <t>Fig. 2</t>
  </si>
  <si>
    <t>AUT-005</t>
  </si>
  <si>
    <t>Ubah dan hapus mata kuliah</t>
  </si>
  <si>
    <t>Data mata kuliah tersedia</t>
  </si>
  <si>
    <t>buka menu aksi → Edit → perbarui → Hapus → konfirmasi</t>
  </si>
  <si>
    <t>Data berubah / terhapus</t>
  </si>
  <si>
    <t>AUT-006</t>
  </si>
  <si>
    <t>Tabel 5.32</t>
  </si>
  <si>
    <t>penugasantest.cy.js</t>
  </si>
  <si>
    <t>Penugasan Dosen</t>
  </si>
  <si>
    <t>Tambah dan hapus penugasan dosen</t>
  </si>
  <si>
    <t>visit /dashboard/courses/assignments → tambah → hapus</t>
  </si>
  <si>
    <t>Penugasan tersimpan / terhapus</t>
  </si>
  <si>
    <t>AUT-007</t>
  </si>
  <si>
    <t>Tabel 5.33</t>
  </si>
  <si>
    <t>gedungtest.cy.js</t>
  </si>
  <si>
    <t>Gedung</t>
  </si>
  <si>
    <t>visit /dashboard/academic/buildings → Tambah → isi → submit</t>
  </si>
  <si>
    <t>Gedung tampil di tabel</t>
  </si>
  <si>
    <t>AUT-008</t>
  </si>
  <si>
    <t>Tambah gedung dengan field kosong</t>
  </si>
  <si>
    <t>submit form kosong → assert pesan wajib isi</t>
  </si>
  <si>
    <t>Pesan validasi tiap field wajib</t>
  </si>
  <si>
    <t>AUT-009</t>
  </si>
  <si>
    <t>Ubah dan hapus gedung</t>
  </si>
  <si>
    <t>Data gedung tersedia</t>
  </si>
  <si>
    <t>menu aksi → Edit → Perbarui → Hapus</t>
  </si>
  <si>
    <t>AUT-010</t>
  </si>
  <si>
    <t>Tabel 5.34</t>
  </si>
  <si>
    <t>programstudytest.cy.js</t>
  </si>
  <si>
    <t>visit /dashboard/academic/study-programs → Tambah → submit</t>
  </si>
  <si>
    <t>AUT-011</t>
  </si>
  <si>
    <t>Ubah dan hapus program studi</t>
  </si>
  <si>
    <t>Data prodi tersedia</t>
  </si>
  <si>
    <t>menu aksi → Edit → Hapus</t>
  </si>
  <si>
    <t>Toast 'Program studi berhasil dihapus'</t>
  </si>
  <si>
    <t>Fig. 3</t>
  </si>
  <si>
    <t>AUT-012</t>
  </si>
  <si>
    <t>Tabel 5.35</t>
  </si>
  <si>
    <t>ruangantest.cy.js</t>
  </si>
  <si>
    <t>Ruangan</t>
  </si>
  <si>
    <t>CRUD ruangan (tambah, ubah, hapus)</t>
  </si>
  <si>
    <t>visit /dashboard/academic/rooms → tambah → edit → hapus</t>
  </si>
  <si>
    <t>Operasi CRUD berhasil</t>
  </si>
  <si>
    <t>AUT-013</t>
  </si>
  <si>
    <t>Tabel 5.36</t>
  </si>
  <si>
    <t>kelompoktest.cy.js</t>
  </si>
  <si>
    <t>Kelompok Mahasiswa</t>
  </si>
  <si>
    <t>Kelola kelompok mahasiswa</t>
  </si>
  <si>
    <t>visit /dashboard/users/student-groups → tambah kelompok → kelola anggota</t>
  </si>
  <si>
    <t>Kelompok &amp; anggota tersimpan</t>
  </si>
  <si>
    <t>AUT-014</t>
  </si>
  <si>
    <t>Tabel 5.37</t>
  </si>
  <si>
    <t>impormahasiswatest.cy.js</t>
  </si>
  <si>
    <t>Sinkronisasi data mahasiswa</t>
  </si>
  <si>
    <t>visit /dashboard/users/students → klik Sinkronisasi</t>
  </si>
  <si>
    <t>Data mahasiswa tampil</t>
  </si>
  <si>
    <t>AUT-015</t>
  </si>
  <si>
    <t>Tabel 5.38</t>
  </si>
  <si>
    <t>impordosentest.cy.js</t>
  </si>
  <si>
    <t>Sinkronisasi data dosen</t>
  </si>
  <si>
    <t>visit /dashboard/users/lecturers → klik Sinkronisasi</t>
  </si>
  <si>
    <t>Data dosen tampil</t>
  </si>
  <si>
    <t>AUT-016</t>
  </si>
  <si>
    <t>Tabel 5.39</t>
  </si>
  <si>
    <t>imporpegawaitest.cy.js</t>
  </si>
  <si>
    <t>Sinkronisasi data pegawai</t>
  </si>
  <si>
    <t>visit /dashboard/users/employees → klik Sinkronisasi</t>
  </si>
  <si>
    <t>Data pegawai tampil</t>
  </si>
  <si>
    <t>AUT-017</t>
  </si>
  <si>
    <t>Tabel 5.40</t>
  </si>
  <si>
    <t>fakultastest.cy.js</t>
  </si>
  <si>
    <t>Fakultas</t>
  </si>
  <si>
    <t>Tambah fakultas valid</t>
  </si>
  <si>
    <t>visit /dashboard/academic/faculties → Tambah → submit</t>
  </si>
  <si>
    <t>Fakultas tampil di tabel</t>
  </si>
  <si>
    <t>n/a</t>
  </si>
  <si>
    <t>AUT-018</t>
  </si>
  <si>
    <t>Tambah fakultas dengan field kosong</t>
  </si>
  <si>
    <t>submit form kosong</t>
  </si>
  <si>
    <t>Pesan peringatan pada field wajib</t>
  </si>
  <si>
    <t>AUT-019</t>
  </si>
  <si>
    <t>Ubah dan hapus fakultas</t>
  </si>
  <si>
    <t>Data fakultas tersedia</t>
  </si>
  <si>
    <t>menu aksi → Edit → Hapus (DELETE 200)</t>
  </si>
  <si>
    <t>Toast 'Fakultas berhasil dihapus'</t>
  </si>
  <si>
    <t>Fig. 4</t>
  </si>
  <si>
    <t>AUT-020</t>
  </si>
  <si>
    <t>Tabel 5.41</t>
  </si>
  <si>
    <t>jadwalmatkul.cy.js</t>
  </si>
  <si>
    <t>Tambah dan hapus jadwal perkuliahan</t>
  </si>
  <si>
    <t>Data MK, ruangan tersedia</t>
  </si>
  <si>
    <t>visit /dashboard/schedules/manage → tambah → hapus</t>
  </si>
  <si>
    <t>Toast 'Jadwal perkuliahan telah berhasil dihapus'</t>
  </si>
  <si>
    <t>Fig. 5</t>
  </si>
  <si>
    <t>AUT-021</t>
  </si>
  <si>
    <t>Tabel 5.42</t>
  </si>
  <si>
    <t>tahunakademiktest.cy.js</t>
  </si>
  <si>
    <t>CRUD tahun akademik (valid &amp; invalid)</t>
  </si>
  <si>
    <t>tambah valid → tambah invalid → edit → hapus</t>
  </si>
  <si>
    <t>Validasi &amp; CRUD berfungsi</t>
  </si>
  <si>
    <t>AUT-022</t>
  </si>
  <si>
    <t>Tabel 5.43</t>
  </si>
  <si>
    <t>Hapus fakultas yang memiliki relasi (invalid)</t>
  </si>
  <si>
    <t>Fakultas memiliki prodi</t>
  </si>
  <si>
    <t>hapus fakultas berelasi → assert pesan penolakan</t>
  </si>
  <si>
    <t>Penghapusan ditolak dengan pesan</t>
  </si>
  <si>
    <t>AUT-023</t>
  </si>
  <si>
    <t>Tabel 5.44</t>
  </si>
  <si>
    <t>dosenmatkultest.cy.js</t>
  </si>
  <si>
    <t>Melihat mata kuliah yang diampu</t>
  </si>
  <si>
    <t>Dosen login</t>
  </si>
  <si>
    <t>visit /dashboard/lecturer/courses</t>
  </si>
  <si>
    <t>Daftar MK tampil</t>
  </si>
  <si>
    <t>AUT-024</t>
  </si>
  <si>
    <t>Tabel 5.45</t>
  </si>
  <si>
    <t>dosenjadwaltest.cy.js</t>
  </si>
  <si>
    <t>Melihat jadwal mengajar</t>
  </si>
  <si>
    <t>visit /dashboard/lecturer/schedules</t>
  </si>
  <si>
    <t>Jadwal tampil</t>
  </si>
  <si>
    <t>AUT-025</t>
  </si>
  <si>
    <t>Tabel 5.46</t>
  </si>
  <si>
    <t>presensitest.cy.js</t>
  </si>
  <si>
    <t>Dosen memulai presensi QR Code</t>
  </si>
  <si>
    <t>Dosen login; ada kelas aktif</t>
  </si>
  <si>
    <t>Kelola Presensi → Mulai Presensi → QR Code → Mulai Sesi (POST 200)</t>
  </si>
  <si>
    <t>Toast 'Sesi presensi berhasil dimulai'</t>
  </si>
  <si>
    <t>Fig. 6</t>
  </si>
  <si>
    <t>AUT-026</t>
  </si>
  <si>
    <t>Dosen memulai presensi Face Recognition</t>
  </si>
  <si>
    <t>Kelola Presensi → Mulai Presensi → Pengenalan Wajah → Mulai Sesi</t>
  </si>
  <si>
    <t>Sesi Face Recognition aktif</t>
  </si>
  <si>
    <t>Fig. 7</t>
  </si>
  <si>
    <t>AUT-027</t>
  </si>
  <si>
    <t>Tabel 5.47</t>
  </si>
  <si>
    <t>asistentest.cy.js</t>
  </si>
  <si>
    <t>Dosen mengelola asisten dosen</t>
  </si>
  <si>
    <t>visit /dashboard/lecturer/assistants → tambah asisten</t>
  </si>
  <si>
    <t>Asisten tampil di daftar</t>
  </si>
  <si>
    <t>AUT-028</t>
  </si>
  <si>
    <t>Tabel 5.48</t>
  </si>
  <si>
    <t>asdosjadwaltest.cy.js</t>
  </si>
  <si>
    <t>Asisten melihat jadwal</t>
  </si>
  <si>
    <t>Asisten login</t>
  </si>
  <si>
    <t>visit jadwal asisten</t>
  </si>
  <si>
    <t>AUT-029</t>
  </si>
  <si>
    <t>Tabel 5.49</t>
  </si>
  <si>
    <t>asdospresensitest.cy.js</t>
  </si>
  <si>
    <t>Asisten dosen mengelola presensi</t>
  </si>
  <si>
    <t>visit /dashboard/assistant/attendance → Mulai Sesi</t>
  </si>
  <si>
    <t>Sesi aktif</t>
  </si>
  <si>
    <t>NON-FUNCTIONAL TEST – PERFORMANCE (APACHE JMETER)</t>
  </si>
  <si>
    <t>SLA – Avg response time (ms)</t>
  </si>
  <si>
    <t>SLA – Max error (%)</t>
  </si>
  <si>
    <t>Asumsi: target SLA ditetapkan penulis sebagai acuan umum aplikasi web (≤ 3 detik rata-rata, error ≤ 1%). Ubah sel kuning bila ada target resmi.</t>
  </si>
  <si>
    <t>NFT ID</t>
  </si>
  <si>
    <t>Endpoint / Page</t>
  </si>
  <si>
    <t>Label (JMeter)</t>
  </si>
  <si>
    <t>Objective</t>
  </si>
  <si>
    <t># Samples</t>
  </si>
  <si>
    <t>Average (ms)</t>
  </si>
  <si>
    <t>Min (ms)</t>
  </si>
  <si>
    <t>Max (ms)</t>
  </si>
  <si>
    <t>Std. Dev (ms)</t>
  </si>
  <si>
    <t>Error %</t>
  </si>
  <si>
    <t>Throughput (req/s)</t>
  </si>
  <si>
    <t>Received KB/s</t>
  </si>
  <si>
    <t>Sent KB/s</t>
  </si>
  <si>
    <t>Avg Bytes</t>
  </si>
  <si>
    <t>Δ vs SLA (ms)</t>
  </si>
  <si>
    <t>NFT-001</t>
  </si>
  <si>
    <t>POST /api/auth/login</t>
  </si>
  <si>
    <t>POST Login</t>
  </si>
  <si>
    <t>Ukur waktu respons proses login</t>
  </si>
  <si>
    <t>NFT-002</t>
  </si>
  <si>
    <t>GET /dashboard</t>
  </si>
  <si>
    <t>GET Dashboard</t>
  </si>
  <si>
    <t>Ukur waktu respons pemuatan halaman</t>
  </si>
  <si>
    <t>NFT-003</t>
  </si>
  <si>
    <t>GET /dashboard/academic/study-programs</t>
  </si>
  <si>
    <t>GET Program Studi</t>
  </si>
  <si>
    <t>NFT-004</t>
  </si>
  <si>
    <t>GET /dashboard/academic/faculties</t>
  </si>
  <si>
    <t>GET Fakultas</t>
  </si>
  <si>
    <t>NFT-005</t>
  </si>
  <si>
    <t>GET /dashboard/academic/buildings</t>
  </si>
  <si>
    <t>GET Gedung Page</t>
  </si>
  <si>
    <t>NFT-006</t>
  </si>
  <si>
    <t>GET /dashboard/academic/rooms</t>
  </si>
  <si>
    <t>GET Ruangan</t>
  </si>
  <si>
    <t>NFT-007</t>
  </si>
  <si>
    <t>GET /dashboard/academic/academic-years</t>
  </si>
  <si>
    <t>GET Tahun Akademik</t>
  </si>
  <si>
    <t>NFT-008</t>
  </si>
  <si>
    <t>GET /dashboard/courses/manage</t>
  </si>
  <si>
    <t>GET Mata Kuliah</t>
  </si>
  <si>
    <t>NFT-009</t>
  </si>
  <si>
    <t>GET /dashboard/courses/assignments</t>
  </si>
  <si>
    <t>GET Penugasan Dosen</t>
  </si>
  <si>
    <t>NFT-010</t>
  </si>
  <si>
    <t>GET /dashboard/schedules/manage</t>
  </si>
  <si>
    <t>GET Jadwal Perkuliahan</t>
  </si>
  <si>
    <t>NFT-011</t>
  </si>
  <si>
    <t>GET /dashboard/users/lecturers</t>
  </si>
  <si>
    <t>GET Daftar Dosen</t>
  </si>
  <si>
    <t>NFT-012</t>
  </si>
  <si>
    <t>GET /dashboard/users/employees</t>
  </si>
  <si>
    <t>GET Data Pegawai</t>
  </si>
  <si>
    <t>NFT-013</t>
  </si>
  <si>
    <t>GET /dashboard/users/students</t>
  </si>
  <si>
    <t>GET Daftar Mahasiswa</t>
  </si>
  <si>
    <t>NFT-014</t>
  </si>
  <si>
    <t>GET /dashboard/users/student-groups</t>
  </si>
  <si>
    <t>GET Kelompok Mahasiswa</t>
  </si>
  <si>
    <t>Weighted avg / total</t>
  </si>
  <si>
    <t>Kesimpulan: seluruh endpoint bebas error (0%), namun rata-rata waktu respons 6,8–7,7 detik sehingga tidak memenuhi SLA 3 detik → dicatat sebagai BUG-006.</t>
  </si>
  <si>
    <t>Keterbatasan: laporan Summary Report tidak memuat persentil (P90/P95/P99). Disarankan menambahkan Aggregate Report agar analisis lebih akurat.</t>
  </si>
  <si>
    <t>Konfigurasi: jumlah thread &amp; ramp-up tidak tercatat pada dokumen sumber; test plan pada folder jmeter menggunakan 250 thread / 1 iterasi sebagai asumsi (parameter dapat diubah).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</si>
</sst>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 mmm\ yyyy"/>
  </numFmts>
  <fonts count="12" x14ac:knownFonts="1">
    <font>
      <sz val="11"/>
      <color theme="1"/>
      <name val="Calibri"/>
      <family val="2"/>
      <charset val="1"/>
    </font>
    <font>
      <b/>
      <sz val="18"/>
      <color rgb="FF1F3864"/>
      <name val="Arial"/>
      <family val="2"/>
    </font>
    <font>
      <b/>
      <sz val="12"/>
      <color rgb="FF40404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1F3864"/>
      <name val="Arial"/>
      <family val="2"/>
    </font>
    <font>
      <b/>
      <sz val="10"/>
      <color rgb="FFFFFFFF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i/>
      <sz val="9"/>
      <color rgb="FF40404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EDEDED"/>
      </patternFill>
    </fill>
    <fill>
      <patternFill patternType="solid">
        <fgColor rgb="FF1F3864"/>
        <bgColor rgb="FF333399"/>
      </patternFill>
    </fill>
    <fill>
      <patternFill patternType="solid">
        <fgColor rgb="FFFFFF99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/>
    </xf>
    <xf numFmtId="0" fontId="5" fillId="0" borderId="0" xfId="0" applyFont="1"/>
    <xf numFmtId="0" fontId="6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7" fillId="0" borderId="0" xfId="0" applyFont="1"/>
    <xf numFmtId="0" fontId="8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65" fontId="4" fillId="0" borderId="1" xfId="0" applyNumberFormat="1" applyFont="1" applyBorder="1" applyAlignment="1">
      <alignment horizontal="center" vertical="top" wrapText="1"/>
    </xf>
    <xf numFmtId="0" fontId="9" fillId="4" borderId="0" xfId="0" applyFont="1" applyFill="1"/>
    <xf numFmtId="3" fontId="10" fillId="0" borderId="1" xfId="0" applyNumberFormat="1" applyFont="1" applyBorder="1" applyAlignment="1">
      <alignment horizontal="center" vertical="top" wrapText="1"/>
    </xf>
    <xf numFmtId="164" fontId="10" fillId="0" borderId="1" xfId="0" applyNumberFormat="1" applyFont="1" applyBorder="1" applyAlignment="1">
      <alignment horizontal="center" vertical="top" wrapText="1"/>
    </xf>
    <xf numFmtId="2" fontId="10" fillId="0" borderId="1" xfId="0" applyNumberFormat="1" applyFont="1" applyBorder="1" applyAlignment="1">
      <alignment horizontal="center" vertical="top" wrapText="1"/>
    </xf>
    <xf numFmtId="3" fontId="4" fillId="0" borderId="1" xfId="0" applyNumberFormat="1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11" fillId="0" borderId="0" xfId="0" applyFont="1"/>
  </cellXfs>
  <cellStyles count="1">
    <cellStyle name="Normal" xfId="0" builtinId="0"/>
  </cellStyles>
  <dxfs count="16">
    <dxf>
      <font>
        <b/>
        <color rgb="FF595959"/>
        <name val="Arial"/>
        <charset val="1"/>
      </font>
      <fill>
        <patternFill>
          <bgColor rgb="FFEDEDED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595959"/>
        <name val="Arial"/>
        <charset val="1"/>
      </font>
      <fill>
        <patternFill>
          <bgColor rgb="FFEDEDED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595959"/>
        <name val="Arial"/>
        <charset val="1"/>
      </font>
      <fill>
        <patternFill>
          <bgColor rgb="FFEDEDED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595959"/>
        <name val="Arial"/>
        <charset val="1"/>
      </font>
      <fill>
        <patternFill>
          <bgColor rgb="FFEDEDED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FFEB9C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26"/>
  <sheetViews>
    <sheetView showGridLines="0" tabSelected="1" topLeftCell="A9" zoomScaleNormal="100" workbookViewId="0">
      <selection activeCell="F29" sqref="F29"/>
    </sheetView>
  </sheetViews>
  <sheetFormatPr defaultColWidth="8.6640625" defaultRowHeight="14.4" x14ac:dyDescent="0.3"/>
  <cols>
    <col min="1" max="1" width="2" customWidth="1"/>
    <col min="2" max="2" width="38" customWidth="1"/>
    <col min="3" max="3" width="22" customWidth="1"/>
    <col min="4" max="7" width="10" customWidth="1"/>
    <col min="8" max="8" width="12" customWidth="1"/>
  </cols>
  <sheetData>
    <row r="2" spans="2:8" ht="22.8" x14ac:dyDescent="0.4">
      <c r="B2" s="4" t="s">
        <v>0</v>
      </c>
    </row>
    <row r="3" spans="2:8" ht="15.6" x14ac:dyDescent="0.3">
      <c r="B3" s="5" t="s">
        <v>1</v>
      </c>
    </row>
    <row r="5" spans="2:8" ht="15" customHeight="1" x14ac:dyDescent="0.3">
      <c r="B5" s="6" t="s">
        <v>2</v>
      </c>
      <c r="C5" s="3" t="s">
        <v>3</v>
      </c>
      <c r="D5" s="3"/>
      <c r="E5" s="3"/>
      <c r="F5" s="3"/>
    </row>
    <row r="6" spans="2:8" ht="15" customHeight="1" x14ac:dyDescent="0.3">
      <c r="B6" s="6" t="s">
        <v>4</v>
      </c>
      <c r="C6" s="3" t="s">
        <v>5</v>
      </c>
      <c r="D6" s="3"/>
      <c r="E6" s="3"/>
      <c r="F6" s="3"/>
    </row>
    <row r="7" spans="2:8" ht="15" customHeight="1" x14ac:dyDescent="0.3">
      <c r="B7" s="6" t="s">
        <v>6</v>
      </c>
      <c r="C7" s="3" t="s">
        <v>7</v>
      </c>
      <c r="D7" s="3"/>
      <c r="E7" s="3"/>
      <c r="F7" s="3"/>
    </row>
    <row r="8" spans="2:8" ht="15" customHeight="1" x14ac:dyDescent="0.3">
      <c r="B8" s="6" t="s">
        <v>8</v>
      </c>
      <c r="C8" s="3" t="s">
        <v>9</v>
      </c>
      <c r="D8" s="3"/>
      <c r="E8" s="3"/>
      <c r="F8" s="3"/>
    </row>
    <row r="9" spans="2:8" ht="23.85" customHeight="1" x14ac:dyDescent="0.3">
      <c r="B9" s="6" t="s">
        <v>10</v>
      </c>
      <c r="C9" s="3" t="s">
        <v>11</v>
      </c>
      <c r="D9" s="3"/>
      <c r="E9" s="3"/>
      <c r="F9" s="3"/>
    </row>
    <row r="10" spans="2:8" ht="27.75" customHeight="1" x14ac:dyDescent="0.3">
      <c r="B10" s="6" t="s">
        <v>12</v>
      </c>
      <c r="C10" s="3" t="s">
        <v>13</v>
      </c>
      <c r="D10" s="3"/>
      <c r="E10" s="3"/>
      <c r="F10" s="3"/>
    </row>
    <row r="11" spans="2:8" ht="23.85" customHeight="1" x14ac:dyDescent="0.3">
      <c r="B11" s="6" t="s">
        <v>14</v>
      </c>
      <c r="C11" s="3" t="s">
        <v>15</v>
      </c>
      <c r="D11" s="3"/>
      <c r="E11" s="3"/>
      <c r="F11" s="3"/>
    </row>
    <row r="12" spans="2:8" ht="15" customHeight="1" x14ac:dyDescent="0.3">
      <c r="B12" s="6" t="s">
        <v>16</v>
      </c>
      <c r="C12" s="3" t="s">
        <v>17</v>
      </c>
      <c r="D12" s="3"/>
      <c r="E12" s="3"/>
      <c r="F12" s="3"/>
    </row>
    <row r="14" spans="2:8" ht="15.6" x14ac:dyDescent="0.3">
      <c r="B14" s="7" t="s">
        <v>18</v>
      </c>
    </row>
    <row r="15" spans="2:8" x14ac:dyDescent="0.3">
      <c r="B15" s="8" t="s">
        <v>19</v>
      </c>
      <c r="C15" s="8" t="s">
        <v>20</v>
      </c>
      <c r="D15" s="8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3">
      <c r="B16" s="9" t="s">
        <v>26</v>
      </c>
      <c r="C16" s="9" t="s">
        <v>27</v>
      </c>
      <c r="D16" s="10">
        <f>COUNTA('Manual TC'!$N$5:$N$37)</f>
        <v>33</v>
      </c>
      <c r="E16" s="10">
        <f>COUNTIF('Manual TC'!$N$5:$N$37,"Pass")</f>
        <v>33</v>
      </c>
      <c r="F16" s="10">
        <f>COUNTIF('Manual TC'!$N$5:$N$37,"Fail")</f>
        <v>0</v>
      </c>
      <c r="G16" s="10">
        <f>COUNTIF('Manual TC'!$N$5:$N$37,"Not Run")</f>
        <v>0</v>
      </c>
      <c r="H16" s="11">
        <f>IF(D16=0,0,E16/D16)</f>
        <v>1</v>
      </c>
    </row>
    <row r="17" spans="2:8" x14ac:dyDescent="0.3">
      <c r="B17" s="9" t="s">
        <v>28</v>
      </c>
      <c r="C17" s="9" t="s">
        <v>29</v>
      </c>
      <c r="D17" s="10">
        <f>COUNTA('Automation TC'!$M$5:$M$33)</f>
        <v>29</v>
      </c>
      <c r="E17" s="10">
        <f>COUNTIF('Automation TC'!$M$5:$M$33,"Pass")</f>
        <v>29</v>
      </c>
      <c r="F17" s="10">
        <f>COUNTIF('Automation TC'!$M$5:$M$33,"Fail")</f>
        <v>0</v>
      </c>
      <c r="G17" s="10">
        <f>COUNTIF('Automation TC'!$M$5:$M$33,"Not Run")</f>
        <v>0</v>
      </c>
      <c r="H17" s="11">
        <f>IF(D17=0,0,E17/D17)</f>
        <v>1</v>
      </c>
    </row>
    <row r="18" spans="2:8" x14ac:dyDescent="0.3">
      <c r="B18" s="9" t="s">
        <v>30</v>
      </c>
      <c r="C18" s="9" t="s">
        <v>31</v>
      </c>
      <c r="D18" s="10">
        <f>COUNTA('NFT JMeter'!$P$5:$P$18)</f>
        <v>14</v>
      </c>
      <c r="E18" s="10">
        <f>COUNTIF('NFT JMeter'!$P$5:$P$18,"Pass")</f>
        <v>0</v>
      </c>
      <c r="F18" s="10">
        <f>COUNTIF('NFT JMeter'!$P$5:$P$18,"Fail")</f>
        <v>14</v>
      </c>
      <c r="G18" s="10">
        <f>COUNTIF('NFT JMeter'!$P$5:$P$18,"Not Run")</f>
        <v>0</v>
      </c>
      <c r="H18" s="11">
        <f>IF(D18=0,0,E18/D18)</f>
        <v>0</v>
      </c>
    </row>
    <row r="19" spans="2:8" x14ac:dyDescent="0.3">
      <c r="B19" s="12" t="s">
        <v>32</v>
      </c>
      <c r="C19" s="12"/>
      <c r="D19" s="13">
        <f>SUM(D16:D17)</f>
        <v>62</v>
      </c>
      <c r="E19" s="13">
        <f>SUM(E16:E17)</f>
        <v>62</v>
      </c>
      <c r="F19" s="13">
        <f>SUM(F16:F17)</f>
        <v>0</v>
      </c>
      <c r="G19" s="13">
        <f>SUM(G16:G17)</f>
        <v>0</v>
      </c>
      <c r="H19" s="14">
        <f>IF(D19=0,0,E19/D19)</f>
        <v>1</v>
      </c>
    </row>
    <row r="21" spans="2:8" ht="15.6" x14ac:dyDescent="0.3">
      <c r="B21" s="7" t="s">
        <v>33</v>
      </c>
    </row>
    <row r="22" spans="2:8" ht="15.75" customHeight="1" x14ac:dyDescent="0.3">
      <c r="B22" s="15" t="s">
        <v>22</v>
      </c>
      <c r="C22" s="2" t="s">
        <v>34</v>
      </c>
      <c r="D22" s="2"/>
      <c r="E22" s="2"/>
      <c r="F22" s="2"/>
      <c r="G22" s="2"/>
      <c r="H22" s="2"/>
    </row>
    <row r="23" spans="2:8" ht="15.75" customHeight="1" x14ac:dyDescent="0.3">
      <c r="B23" s="15" t="s">
        <v>23</v>
      </c>
      <c r="C23" s="2" t="s">
        <v>35</v>
      </c>
      <c r="D23" s="2"/>
      <c r="E23" s="2"/>
      <c r="F23" s="2"/>
      <c r="G23" s="2"/>
      <c r="H23" s="2"/>
    </row>
    <row r="24" spans="2:8" ht="15.75" customHeight="1" x14ac:dyDescent="0.3">
      <c r="B24" s="15" t="s">
        <v>24</v>
      </c>
      <c r="C24" s="2" t="s">
        <v>36</v>
      </c>
      <c r="D24" s="2"/>
      <c r="E24" s="2"/>
      <c r="F24" s="2"/>
      <c r="G24" s="2"/>
      <c r="H24" s="2"/>
    </row>
    <row r="25" spans="2:8" ht="27.75" customHeight="1" x14ac:dyDescent="0.3">
      <c r="B25" s="15" t="s">
        <v>37</v>
      </c>
      <c r="C25" s="2" t="s">
        <v>38</v>
      </c>
      <c r="D25" s="2"/>
      <c r="E25" s="2"/>
      <c r="F25" s="2"/>
      <c r="G25" s="2"/>
      <c r="H25" s="2"/>
    </row>
    <row r="26" spans="2:8" ht="27.75" customHeight="1" x14ac:dyDescent="0.3">
      <c r="B26" s="15" t="s">
        <v>39</v>
      </c>
      <c r="C26" s="2" t="s">
        <v>40</v>
      </c>
      <c r="D26" s="2"/>
      <c r="E26" s="2"/>
      <c r="F26" s="2"/>
      <c r="G26" s="2"/>
      <c r="H26" s="2"/>
    </row>
  </sheetData>
  <mergeCells count="13">
    <mergeCell ref="C24:H24"/>
    <mergeCell ref="C25:H25"/>
    <mergeCell ref="C26:H26"/>
    <mergeCell ref="C10:F10"/>
    <mergeCell ref="C11:F11"/>
    <mergeCell ref="C12:F12"/>
    <mergeCell ref="C22:H22"/>
    <mergeCell ref="C23:H23"/>
    <mergeCell ref="C5:F5"/>
    <mergeCell ref="C6:F6"/>
    <mergeCell ref="C7:F7"/>
    <mergeCell ref="C8:F8"/>
    <mergeCell ref="C9:F9"/>
  </mergeCells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7"/>
  <sheetViews>
    <sheetView zoomScaleNormal="100" workbookViewId="0">
      <pane xSplit="5" ySplit="4" topLeftCell="L5" activePane="bottomRight" state="frozen"/>
      <selection pane="topRight" activeCell="F1" sqref="F1"/>
      <selection pane="bottomLeft" activeCell="A5" sqref="A5"/>
      <selection pane="bottomRight" activeCell="A2" sqref="A2"/>
    </sheetView>
  </sheetViews>
  <sheetFormatPr defaultColWidth="8.6640625" defaultRowHeight="14.4" x14ac:dyDescent="0.3"/>
  <cols>
    <col min="1" max="1" width="14" customWidth="1"/>
    <col min="2" max="2" width="16" customWidth="1"/>
    <col min="3" max="3" width="9" customWidth="1"/>
    <col min="4" max="4" width="14" customWidth="1"/>
    <col min="5" max="5" width="34" customWidth="1"/>
    <col min="6" max="6" width="10" customWidth="1"/>
    <col min="7" max="7" width="9" customWidth="1"/>
    <col min="8" max="8" width="28" customWidth="1"/>
    <col min="9" max="9" width="44" customWidth="1"/>
    <col min="10" max="10" width="28" customWidth="1"/>
    <col min="11" max="12" width="34" customWidth="1"/>
    <col min="13" max="14" width="10" customWidth="1"/>
    <col min="15" max="15" width="11" customWidth="1"/>
    <col min="16" max="16" width="36" customWidth="1"/>
    <col min="17" max="17" width="20" customWidth="1"/>
    <col min="18" max="18" width="12" customWidth="1"/>
  </cols>
  <sheetData>
    <row r="1" spans="1:18" ht="17.399999999999999" x14ac:dyDescent="0.3">
      <c r="A1" s="16" t="s">
        <v>41</v>
      </c>
    </row>
    <row r="2" spans="1:18" x14ac:dyDescent="0.3">
      <c r="A2" s="17"/>
    </row>
    <row r="4" spans="1:18" ht="30" customHeight="1" x14ac:dyDescent="0.3">
      <c r="A4" s="18" t="s">
        <v>42</v>
      </c>
      <c r="B4" s="18" t="s">
        <v>43</v>
      </c>
      <c r="C4" s="18" t="s">
        <v>44</v>
      </c>
      <c r="D4" s="18" t="s">
        <v>45</v>
      </c>
      <c r="E4" s="18" t="s">
        <v>46</v>
      </c>
      <c r="F4" s="18" t="s">
        <v>47</v>
      </c>
      <c r="G4" s="18" t="s">
        <v>37</v>
      </c>
      <c r="H4" s="18" t="s">
        <v>48</v>
      </c>
      <c r="I4" s="18" t="s">
        <v>49</v>
      </c>
      <c r="J4" s="18" t="s">
        <v>50</v>
      </c>
      <c r="K4" s="18" t="s">
        <v>51</v>
      </c>
      <c r="L4" s="18" t="s">
        <v>52</v>
      </c>
      <c r="M4" s="18" t="s">
        <v>53</v>
      </c>
      <c r="N4" s="18" t="s">
        <v>54</v>
      </c>
      <c r="O4" s="18" t="s">
        <v>55</v>
      </c>
      <c r="P4" s="18" t="s">
        <v>56</v>
      </c>
      <c r="Q4" s="18" t="s">
        <v>57</v>
      </c>
      <c r="R4" s="18" t="s">
        <v>58</v>
      </c>
    </row>
    <row r="5" spans="1:18" ht="55.5" customHeight="1" x14ac:dyDescent="0.3">
      <c r="A5" s="19" t="s">
        <v>59</v>
      </c>
      <c r="B5" s="20" t="s">
        <v>60</v>
      </c>
      <c r="C5" s="19" t="s">
        <v>61</v>
      </c>
      <c r="D5" s="20" t="s">
        <v>62</v>
      </c>
      <c r="E5" s="20" t="s">
        <v>63</v>
      </c>
      <c r="F5" s="19" t="s">
        <v>64</v>
      </c>
      <c r="G5" s="19" t="s">
        <v>65</v>
      </c>
      <c r="H5" s="20" t="s">
        <v>66</v>
      </c>
      <c r="I5" s="20" t="s">
        <v>67</v>
      </c>
      <c r="J5" s="20" t="s">
        <v>68</v>
      </c>
      <c r="K5" s="20" t="s">
        <v>69</v>
      </c>
      <c r="L5" s="20" t="s">
        <v>69</v>
      </c>
      <c r="M5" s="19" t="s">
        <v>70</v>
      </c>
      <c r="N5" s="19" t="s">
        <v>22</v>
      </c>
      <c r="O5" s="19" t="s">
        <v>71</v>
      </c>
      <c r="P5" s="20" t="s">
        <v>72</v>
      </c>
      <c r="Q5" s="20" t="s">
        <v>73</v>
      </c>
      <c r="R5" s="21">
        <v>45782</v>
      </c>
    </row>
    <row r="6" spans="1:18" ht="55.5" customHeight="1" x14ac:dyDescent="0.3">
      <c r="A6" s="19" t="s">
        <v>74</v>
      </c>
      <c r="B6" s="20" t="s">
        <v>60</v>
      </c>
      <c r="C6" s="19" t="s">
        <v>61</v>
      </c>
      <c r="D6" s="20" t="s">
        <v>62</v>
      </c>
      <c r="E6" s="20" t="s">
        <v>75</v>
      </c>
      <c r="F6" s="19" t="s">
        <v>76</v>
      </c>
      <c r="G6" s="19" t="s">
        <v>65</v>
      </c>
      <c r="H6" s="20" t="s">
        <v>66</v>
      </c>
      <c r="I6" s="20" t="s">
        <v>77</v>
      </c>
      <c r="J6" s="20" t="s">
        <v>78</v>
      </c>
      <c r="K6" s="20" t="s">
        <v>79</v>
      </c>
      <c r="L6" s="20" t="s">
        <v>79</v>
      </c>
      <c r="M6" s="19" t="s">
        <v>80</v>
      </c>
      <c r="N6" s="19" t="s">
        <v>22</v>
      </c>
      <c r="O6" s="19"/>
      <c r="P6" s="20"/>
      <c r="Q6" s="20" t="s">
        <v>73</v>
      </c>
      <c r="R6" s="21">
        <v>45782</v>
      </c>
    </row>
    <row r="7" spans="1:18" ht="55.5" customHeight="1" x14ac:dyDescent="0.3">
      <c r="A7" s="19" t="s">
        <v>81</v>
      </c>
      <c r="B7" s="20" t="s">
        <v>60</v>
      </c>
      <c r="C7" s="19" t="s">
        <v>61</v>
      </c>
      <c r="D7" s="20" t="s">
        <v>62</v>
      </c>
      <c r="E7" s="20" t="s">
        <v>82</v>
      </c>
      <c r="F7" s="19" t="s">
        <v>64</v>
      </c>
      <c r="G7" s="19" t="s">
        <v>83</v>
      </c>
      <c r="H7" s="20" t="s">
        <v>66</v>
      </c>
      <c r="I7" s="20" t="s">
        <v>84</v>
      </c>
      <c r="J7" s="20" t="s">
        <v>68</v>
      </c>
      <c r="K7" s="20" t="s">
        <v>85</v>
      </c>
      <c r="L7" s="20" t="s">
        <v>85</v>
      </c>
      <c r="M7" s="19" t="s">
        <v>70</v>
      </c>
      <c r="N7" s="19" t="s">
        <v>22</v>
      </c>
      <c r="O7" s="19" t="s">
        <v>86</v>
      </c>
      <c r="P7" s="20" t="s">
        <v>87</v>
      </c>
      <c r="Q7" s="20" t="s">
        <v>73</v>
      </c>
      <c r="R7" s="21">
        <v>45782</v>
      </c>
    </row>
    <row r="8" spans="1:18" ht="30" customHeight="1" x14ac:dyDescent="0.3">
      <c r="A8" s="19" t="s">
        <v>88</v>
      </c>
      <c r="B8" s="20" t="s">
        <v>60</v>
      </c>
      <c r="C8" s="19" t="s">
        <v>61</v>
      </c>
      <c r="D8" s="20" t="s">
        <v>89</v>
      </c>
      <c r="E8" s="20" t="s">
        <v>90</v>
      </c>
      <c r="F8" s="19" t="s">
        <v>64</v>
      </c>
      <c r="G8" s="19" t="s">
        <v>83</v>
      </c>
      <c r="H8" s="20" t="s">
        <v>91</v>
      </c>
      <c r="I8" s="20" t="s">
        <v>92</v>
      </c>
      <c r="J8" s="20" t="s">
        <v>93</v>
      </c>
      <c r="K8" s="20" t="s">
        <v>94</v>
      </c>
      <c r="L8" s="20" t="s">
        <v>94</v>
      </c>
      <c r="M8" s="19" t="s">
        <v>95</v>
      </c>
      <c r="N8" s="19" t="s">
        <v>22</v>
      </c>
      <c r="O8" s="19"/>
      <c r="P8" s="20"/>
      <c r="Q8" s="20" t="s">
        <v>73</v>
      </c>
      <c r="R8" s="21">
        <v>45782</v>
      </c>
    </row>
    <row r="9" spans="1:18" ht="69" customHeight="1" x14ac:dyDescent="0.3">
      <c r="A9" s="19" t="s">
        <v>96</v>
      </c>
      <c r="B9" s="20" t="s">
        <v>97</v>
      </c>
      <c r="C9" s="19" t="s">
        <v>61</v>
      </c>
      <c r="D9" s="20" t="s">
        <v>62</v>
      </c>
      <c r="E9" s="20" t="s">
        <v>98</v>
      </c>
      <c r="F9" s="19" t="s">
        <v>64</v>
      </c>
      <c r="G9" s="19" t="s">
        <v>65</v>
      </c>
      <c r="H9" s="20" t="s">
        <v>99</v>
      </c>
      <c r="I9" s="20" t="s">
        <v>100</v>
      </c>
      <c r="J9" s="20" t="s">
        <v>101</v>
      </c>
      <c r="K9" s="20" t="s">
        <v>102</v>
      </c>
      <c r="L9" s="20" t="s">
        <v>102</v>
      </c>
      <c r="M9" s="19" t="s">
        <v>103</v>
      </c>
      <c r="N9" s="19" t="s">
        <v>22</v>
      </c>
      <c r="O9" s="19"/>
      <c r="P9" s="20"/>
      <c r="Q9" s="20" t="s">
        <v>73</v>
      </c>
      <c r="R9" s="21">
        <v>45782</v>
      </c>
    </row>
    <row r="10" spans="1:18" ht="42.75" customHeight="1" x14ac:dyDescent="0.3">
      <c r="A10" s="19" t="s">
        <v>104</v>
      </c>
      <c r="B10" s="20" t="s">
        <v>97</v>
      </c>
      <c r="C10" s="19" t="s">
        <v>61</v>
      </c>
      <c r="D10" s="20" t="s">
        <v>62</v>
      </c>
      <c r="E10" s="20" t="s">
        <v>105</v>
      </c>
      <c r="F10" s="19" t="s">
        <v>76</v>
      </c>
      <c r="G10" s="19" t="s">
        <v>65</v>
      </c>
      <c r="H10" s="20" t="s">
        <v>106</v>
      </c>
      <c r="I10" s="20" t="s">
        <v>107</v>
      </c>
      <c r="J10" s="20" t="s">
        <v>108</v>
      </c>
      <c r="K10" s="20" t="s">
        <v>109</v>
      </c>
      <c r="L10" s="20" t="s">
        <v>109</v>
      </c>
      <c r="M10" s="19" t="s">
        <v>103</v>
      </c>
      <c r="N10" s="19" t="s">
        <v>22</v>
      </c>
      <c r="O10" s="19"/>
      <c r="P10" s="20"/>
      <c r="Q10" s="20" t="s">
        <v>73</v>
      </c>
      <c r="R10" s="21">
        <v>45782</v>
      </c>
    </row>
    <row r="11" spans="1:18" ht="55.5" customHeight="1" x14ac:dyDescent="0.3">
      <c r="A11" s="19" t="s">
        <v>110</v>
      </c>
      <c r="B11" s="20" t="s">
        <v>97</v>
      </c>
      <c r="C11" s="19" t="s">
        <v>61</v>
      </c>
      <c r="D11" s="20" t="s">
        <v>62</v>
      </c>
      <c r="E11" s="20" t="s">
        <v>111</v>
      </c>
      <c r="F11" s="19" t="s">
        <v>64</v>
      </c>
      <c r="G11" s="19" t="s">
        <v>83</v>
      </c>
      <c r="H11" s="20" t="s">
        <v>112</v>
      </c>
      <c r="I11" s="20" t="s">
        <v>113</v>
      </c>
      <c r="J11" s="20" t="s">
        <v>114</v>
      </c>
      <c r="K11" s="20" t="s">
        <v>115</v>
      </c>
      <c r="L11" s="20" t="s">
        <v>115</v>
      </c>
      <c r="M11" s="19" t="s">
        <v>103</v>
      </c>
      <c r="N11" s="19" t="s">
        <v>22</v>
      </c>
      <c r="O11" s="19" t="s">
        <v>116</v>
      </c>
      <c r="P11" s="20" t="s">
        <v>117</v>
      </c>
      <c r="Q11" s="20" t="s">
        <v>73</v>
      </c>
      <c r="R11" s="21">
        <v>45782</v>
      </c>
    </row>
    <row r="12" spans="1:18" ht="42.75" customHeight="1" x14ac:dyDescent="0.3">
      <c r="A12" s="19" t="s">
        <v>118</v>
      </c>
      <c r="B12" s="20" t="s">
        <v>97</v>
      </c>
      <c r="C12" s="19" t="s">
        <v>61</v>
      </c>
      <c r="D12" s="20" t="s">
        <v>62</v>
      </c>
      <c r="E12" s="20" t="s">
        <v>119</v>
      </c>
      <c r="F12" s="19" t="s">
        <v>64</v>
      </c>
      <c r="G12" s="19" t="s">
        <v>83</v>
      </c>
      <c r="H12" s="20" t="s">
        <v>120</v>
      </c>
      <c r="I12" s="20" t="s">
        <v>121</v>
      </c>
      <c r="J12" s="20" t="s">
        <v>93</v>
      </c>
      <c r="K12" s="20" t="s">
        <v>122</v>
      </c>
      <c r="L12" s="20" t="s">
        <v>122</v>
      </c>
      <c r="M12" s="19" t="s">
        <v>103</v>
      </c>
      <c r="N12" s="19" t="s">
        <v>22</v>
      </c>
      <c r="O12" s="19"/>
      <c r="P12" s="20"/>
      <c r="Q12" s="20" t="s">
        <v>73</v>
      </c>
      <c r="R12" s="21">
        <v>45782</v>
      </c>
    </row>
    <row r="13" spans="1:18" ht="55.5" customHeight="1" x14ac:dyDescent="0.3">
      <c r="A13" s="19" t="s">
        <v>123</v>
      </c>
      <c r="B13" s="20" t="s">
        <v>97</v>
      </c>
      <c r="C13" s="19" t="s">
        <v>61</v>
      </c>
      <c r="D13" s="20" t="s">
        <v>62</v>
      </c>
      <c r="E13" s="20" t="s">
        <v>124</v>
      </c>
      <c r="F13" s="19" t="s">
        <v>76</v>
      </c>
      <c r="G13" s="19" t="s">
        <v>65</v>
      </c>
      <c r="H13" s="20" t="s">
        <v>125</v>
      </c>
      <c r="I13" s="20" t="s">
        <v>126</v>
      </c>
      <c r="J13" s="20" t="s">
        <v>93</v>
      </c>
      <c r="K13" s="20" t="s">
        <v>127</v>
      </c>
      <c r="L13" s="20" t="s">
        <v>127</v>
      </c>
      <c r="M13" s="19" t="s">
        <v>103</v>
      </c>
      <c r="N13" s="19" t="s">
        <v>22</v>
      </c>
      <c r="O13" s="19" t="s">
        <v>128</v>
      </c>
      <c r="P13" s="20" t="s">
        <v>129</v>
      </c>
      <c r="Q13" s="20" t="s">
        <v>73</v>
      </c>
      <c r="R13" s="21">
        <v>45782</v>
      </c>
    </row>
    <row r="14" spans="1:18" ht="69" customHeight="1" x14ac:dyDescent="0.3">
      <c r="A14" s="19" t="s">
        <v>130</v>
      </c>
      <c r="B14" s="20" t="s">
        <v>131</v>
      </c>
      <c r="C14" s="19" t="s">
        <v>61</v>
      </c>
      <c r="D14" s="20" t="s">
        <v>62</v>
      </c>
      <c r="E14" s="20" t="s">
        <v>132</v>
      </c>
      <c r="F14" s="19" t="s">
        <v>64</v>
      </c>
      <c r="G14" s="19" t="s">
        <v>65</v>
      </c>
      <c r="H14" s="20" t="s">
        <v>133</v>
      </c>
      <c r="I14" s="20" t="s">
        <v>134</v>
      </c>
      <c r="J14" s="20" t="s">
        <v>135</v>
      </c>
      <c r="K14" s="20" t="s">
        <v>136</v>
      </c>
      <c r="L14" s="20" t="s">
        <v>136</v>
      </c>
      <c r="M14" s="19" t="s">
        <v>137</v>
      </c>
      <c r="N14" s="19" t="s">
        <v>22</v>
      </c>
      <c r="O14" s="19"/>
      <c r="P14" s="20"/>
      <c r="Q14" s="20" t="s">
        <v>73</v>
      </c>
      <c r="R14" s="21">
        <v>45782</v>
      </c>
    </row>
    <row r="15" spans="1:18" ht="42.75" customHeight="1" x14ac:dyDescent="0.3">
      <c r="A15" s="19" t="s">
        <v>138</v>
      </c>
      <c r="B15" s="20" t="s">
        <v>131</v>
      </c>
      <c r="C15" s="19" t="s">
        <v>61</v>
      </c>
      <c r="D15" s="20" t="s">
        <v>62</v>
      </c>
      <c r="E15" s="20" t="s">
        <v>139</v>
      </c>
      <c r="F15" s="19" t="s">
        <v>64</v>
      </c>
      <c r="G15" s="19" t="s">
        <v>83</v>
      </c>
      <c r="H15" s="20" t="s">
        <v>140</v>
      </c>
      <c r="I15" s="20" t="s">
        <v>141</v>
      </c>
      <c r="J15" s="20" t="s">
        <v>93</v>
      </c>
      <c r="K15" s="20" t="s">
        <v>142</v>
      </c>
      <c r="L15" s="20" t="s">
        <v>142</v>
      </c>
      <c r="M15" s="19" t="s">
        <v>137</v>
      </c>
      <c r="N15" s="19" t="s">
        <v>22</v>
      </c>
      <c r="O15" s="19"/>
      <c r="P15" s="20"/>
      <c r="Q15" s="20" t="s">
        <v>73</v>
      </c>
      <c r="R15" s="21">
        <v>45782</v>
      </c>
    </row>
    <row r="16" spans="1:18" ht="55.5" customHeight="1" x14ac:dyDescent="0.3">
      <c r="A16" s="19" t="s">
        <v>143</v>
      </c>
      <c r="B16" s="20" t="s">
        <v>144</v>
      </c>
      <c r="C16" s="19" t="s">
        <v>61</v>
      </c>
      <c r="D16" s="20" t="s">
        <v>62</v>
      </c>
      <c r="E16" s="20" t="s">
        <v>145</v>
      </c>
      <c r="F16" s="19" t="s">
        <v>64</v>
      </c>
      <c r="G16" s="19" t="s">
        <v>83</v>
      </c>
      <c r="H16" s="20" t="s">
        <v>146</v>
      </c>
      <c r="I16" s="20" t="s">
        <v>147</v>
      </c>
      <c r="J16" s="20" t="s">
        <v>148</v>
      </c>
      <c r="K16" s="20" t="s">
        <v>149</v>
      </c>
      <c r="L16" s="20" t="s">
        <v>149</v>
      </c>
      <c r="M16" s="19" t="s">
        <v>150</v>
      </c>
      <c r="N16" s="19" t="s">
        <v>22</v>
      </c>
      <c r="O16" s="19"/>
      <c r="P16" s="20"/>
      <c r="Q16" s="20" t="s">
        <v>73</v>
      </c>
      <c r="R16" s="21">
        <v>45782</v>
      </c>
    </row>
    <row r="17" spans="1:18" ht="42.75" customHeight="1" x14ac:dyDescent="0.3">
      <c r="A17" s="19" t="s">
        <v>151</v>
      </c>
      <c r="B17" s="20" t="s">
        <v>144</v>
      </c>
      <c r="C17" s="19" t="s">
        <v>61</v>
      </c>
      <c r="D17" s="20" t="s">
        <v>62</v>
      </c>
      <c r="E17" s="20" t="s">
        <v>152</v>
      </c>
      <c r="F17" s="19" t="s">
        <v>76</v>
      </c>
      <c r="G17" s="19" t="s">
        <v>83</v>
      </c>
      <c r="H17" s="20" t="s">
        <v>153</v>
      </c>
      <c r="I17" s="20" t="s">
        <v>154</v>
      </c>
      <c r="J17" s="20" t="s">
        <v>155</v>
      </c>
      <c r="K17" s="20" t="s">
        <v>156</v>
      </c>
      <c r="L17" s="20" t="s">
        <v>157</v>
      </c>
      <c r="M17" s="19" t="s">
        <v>150</v>
      </c>
      <c r="N17" s="19" t="s">
        <v>22</v>
      </c>
      <c r="O17" s="19" t="s">
        <v>158</v>
      </c>
      <c r="P17" s="20" t="s">
        <v>157</v>
      </c>
      <c r="Q17" s="20" t="s">
        <v>73</v>
      </c>
      <c r="R17" s="21">
        <v>45782</v>
      </c>
    </row>
    <row r="18" spans="1:18" ht="55.5" customHeight="1" x14ac:dyDescent="0.3">
      <c r="A18" s="19" t="s">
        <v>159</v>
      </c>
      <c r="B18" s="20" t="s">
        <v>160</v>
      </c>
      <c r="C18" s="19" t="s">
        <v>61</v>
      </c>
      <c r="D18" s="20" t="s">
        <v>62</v>
      </c>
      <c r="E18" s="20" t="s">
        <v>161</v>
      </c>
      <c r="F18" s="19" t="s">
        <v>64</v>
      </c>
      <c r="G18" s="19" t="s">
        <v>83</v>
      </c>
      <c r="H18" s="20" t="s">
        <v>162</v>
      </c>
      <c r="I18" s="20" t="s">
        <v>163</v>
      </c>
      <c r="J18" s="20" t="s">
        <v>164</v>
      </c>
      <c r="K18" s="20" t="s">
        <v>165</v>
      </c>
      <c r="L18" s="20" t="s">
        <v>165</v>
      </c>
      <c r="M18" s="19" t="s">
        <v>166</v>
      </c>
      <c r="N18" s="19" t="s">
        <v>22</v>
      </c>
      <c r="O18" s="19"/>
      <c r="P18" s="20"/>
      <c r="Q18" s="20" t="s">
        <v>73</v>
      </c>
      <c r="R18" s="21">
        <v>45782</v>
      </c>
    </row>
    <row r="19" spans="1:18" ht="42.75" customHeight="1" x14ac:dyDescent="0.3">
      <c r="A19" s="19" t="s">
        <v>167</v>
      </c>
      <c r="B19" s="20" t="s">
        <v>160</v>
      </c>
      <c r="C19" s="19" t="s">
        <v>61</v>
      </c>
      <c r="D19" s="20" t="s">
        <v>62</v>
      </c>
      <c r="E19" s="20" t="s">
        <v>168</v>
      </c>
      <c r="F19" s="19" t="s">
        <v>76</v>
      </c>
      <c r="G19" s="19" t="s">
        <v>83</v>
      </c>
      <c r="H19" s="20" t="s">
        <v>169</v>
      </c>
      <c r="I19" s="20" t="s">
        <v>170</v>
      </c>
      <c r="J19" s="20" t="s">
        <v>171</v>
      </c>
      <c r="K19" s="20" t="s">
        <v>156</v>
      </c>
      <c r="L19" s="20" t="s">
        <v>172</v>
      </c>
      <c r="M19" s="19" t="s">
        <v>166</v>
      </c>
      <c r="N19" s="19" t="s">
        <v>22</v>
      </c>
      <c r="O19" s="19" t="s">
        <v>173</v>
      </c>
      <c r="P19" s="20" t="s">
        <v>172</v>
      </c>
      <c r="Q19" s="20" t="s">
        <v>73</v>
      </c>
      <c r="R19" s="21">
        <v>45782</v>
      </c>
    </row>
    <row r="20" spans="1:18" ht="69" customHeight="1" x14ac:dyDescent="0.3">
      <c r="A20" s="19" t="s">
        <v>174</v>
      </c>
      <c r="B20" s="20" t="s">
        <v>175</v>
      </c>
      <c r="C20" s="19" t="s">
        <v>61</v>
      </c>
      <c r="D20" s="20" t="s">
        <v>62</v>
      </c>
      <c r="E20" s="20" t="s">
        <v>176</v>
      </c>
      <c r="F20" s="19" t="s">
        <v>64</v>
      </c>
      <c r="G20" s="19" t="s">
        <v>83</v>
      </c>
      <c r="H20" s="20" t="s">
        <v>177</v>
      </c>
      <c r="I20" s="20" t="s">
        <v>178</v>
      </c>
      <c r="J20" s="20" t="s">
        <v>179</v>
      </c>
      <c r="K20" s="20" t="s">
        <v>180</v>
      </c>
      <c r="L20" s="20" t="s">
        <v>180</v>
      </c>
      <c r="M20" s="19" t="s">
        <v>181</v>
      </c>
      <c r="N20" s="19" t="s">
        <v>22</v>
      </c>
      <c r="O20" s="19"/>
      <c r="P20" s="20"/>
      <c r="Q20" s="20" t="s">
        <v>73</v>
      </c>
      <c r="R20" s="21">
        <v>45782</v>
      </c>
    </row>
    <row r="21" spans="1:18" ht="55.5" customHeight="1" x14ac:dyDescent="0.3">
      <c r="A21" s="19" t="s">
        <v>182</v>
      </c>
      <c r="B21" s="20" t="s">
        <v>175</v>
      </c>
      <c r="C21" s="19" t="s">
        <v>61</v>
      </c>
      <c r="D21" s="20" t="s">
        <v>62</v>
      </c>
      <c r="E21" s="20" t="s">
        <v>183</v>
      </c>
      <c r="F21" s="19" t="s">
        <v>76</v>
      </c>
      <c r="G21" s="19" t="s">
        <v>65</v>
      </c>
      <c r="H21" s="20" t="s">
        <v>184</v>
      </c>
      <c r="I21" s="20" t="s">
        <v>185</v>
      </c>
      <c r="J21" s="20" t="s">
        <v>186</v>
      </c>
      <c r="K21" s="20" t="s">
        <v>187</v>
      </c>
      <c r="L21" s="20" t="s">
        <v>187</v>
      </c>
      <c r="M21" s="19" t="s">
        <v>181</v>
      </c>
      <c r="N21" s="19" t="s">
        <v>22</v>
      </c>
      <c r="O21" s="19" t="s">
        <v>188</v>
      </c>
      <c r="P21" s="20" t="s">
        <v>189</v>
      </c>
      <c r="Q21" s="20" t="s">
        <v>73</v>
      </c>
      <c r="R21" s="21">
        <v>45782</v>
      </c>
    </row>
    <row r="22" spans="1:18" ht="55.5" customHeight="1" x14ac:dyDescent="0.3">
      <c r="A22" s="19" t="s">
        <v>190</v>
      </c>
      <c r="B22" s="20" t="s">
        <v>191</v>
      </c>
      <c r="C22" s="19" t="s">
        <v>61</v>
      </c>
      <c r="D22" s="20" t="s">
        <v>62</v>
      </c>
      <c r="E22" s="20" t="s">
        <v>192</v>
      </c>
      <c r="F22" s="19" t="s">
        <v>76</v>
      </c>
      <c r="G22" s="19" t="s">
        <v>83</v>
      </c>
      <c r="H22" s="20" t="s">
        <v>193</v>
      </c>
      <c r="I22" s="20" t="s">
        <v>194</v>
      </c>
      <c r="J22" s="20" t="s">
        <v>195</v>
      </c>
      <c r="K22" s="20" t="s">
        <v>196</v>
      </c>
      <c r="L22" s="20" t="s">
        <v>196</v>
      </c>
      <c r="M22" s="19" t="s">
        <v>197</v>
      </c>
      <c r="N22" s="19" t="s">
        <v>22</v>
      </c>
      <c r="O22" s="19"/>
      <c r="P22" s="20" t="s">
        <v>198</v>
      </c>
      <c r="Q22" s="20" t="s">
        <v>73</v>
      </c>
      <c r="R22" s="21">
        <v>45782</v>
      </c>
    </row>
    <row r="23" spans="1:18" ht="69" customHeight="1" x14ac:dyDescent="0.3">
      <c r="A23" s="19" t="s">
        <v>199</v>
      </c>
      <c r="B23" s="20" t="s">
        <v>200</v>
      </c>
      <c r="C23" s="19" t="s">
        <v>61</v>
      </c>
      <c r="D23" s="20" t="s">
        <v>62</v>
      </c>
      <c r="E23" s="20" t="s">
        <v>201</v>
      </c>
      <c r="F23" s="19" t="s">
        <v>64</v>
      </c>
      <c r="G23" s="19" t="s">
        <v>65</v>
      </c>
      <c r="H23" s="20" t="s">
        <v>202</v>
      </c>
      <c r="I23" s="20" t="s">
        <v>203</v>
      </c>
      <c r="J23" s="20" t="s">
        <v>204</v>
      </c>
      <c r="K23" s="20" t="s">
        <v>205</v>
      </c>
      <c r="L23" s="20" t="s">
        <v>205</v>
      </c>
      <c r="M23" s="19" t="s">
        <v>206</v>
      </c>
      <c r="N23" s="19" t="s">
        <v>22</v>
      </c>
      <c r="O23" s="19"/>
      <c r="P23" s="20"/>
      <c r="Q23" s="20" t="s">
        <v>73</v>
      </c>
      <c r="R23" s="21">
        <v>45782</v>
      </c>
    </row>
    <row r="24" spans="1:18" ht="30" customHeight="1" x14ac:dyDescent="0.3">
      <c r="A24" s="19" t="s">
        <v>207</v>
      </c>
      <c r="B24" s="20" t="s">
        <v>208</v>
      </c>
      <c r="C24" s="19" t="s">
        <v>61</v>
      </c>
      <c r="D24" s="20" t="s">
        <v>62</v>
      </c>
      <c r="E24" s="20" t="s">
        <v>209</v>
      </c>
      <c r="F24" s="19" t="s">
        <v>64</v>
      </c>
      <c r="G24" s="19" t="s">
        <v>83</v>
      </c>
      <c r="H24" s="20" t="s">
        <v>210</v>
      </c>
      <c r="I24" s="20" t="s">
        <v>211</v>
      </c>
      <c r="J24" s="20" t="s">
        <v>93</v>
      </c>
      <c r="K24" s="20" t="s">
        <v>212</v>
      </c>
      <c r="L24" s="20" t="s">
        <v>212</v>
      </c>
      <c r="M24" s="19" t="s">
        <v>213</v>
      </c>
      <c r="N24" s="19" t="s">
        <v>22</v>
      </c>
      <c r="O24" s="19"/>
      <c r="P24" s="20"/>
      <c r="Q24" s="20" t="s">
        <v>73</v>
      </c>
      <c r="R24" s="21">
        <v>45782</v>
      </c>
    </row>
    <row r="25" spans="1:18" ht="30" customHeight="1" x14ac:dyDescent="0.3">
      <c r="A25" s="19" t="s">
        <v>214</v>
      </c>
      <c r="B25" s="20" t="s">
        <v>208</v>
      </c>
      <c r="C25" s="19" t="s">
        <v>61</v>
      </c>
      <c r="D25" s="20" t="s">
        <v>62</v>
      </c>
      <c r="E25" s="20" t="s">
        <v>215</v>
      </c>
      <c r="F25" s="19" t="s">
        <v>64</v>
      </c>
      <c r="G25" s="19" t="s">
        <v>83</v>
      </c>
      <c r="H25" s="20" t="s">
        <v>210</v>
      </c>
      <c r="I25" s="20" t="s">
        <v>216</v>
      </c>
      <c r="J25" s="20" t="s">
        <v>93</v>
      </c>
      <c r="K25" s="20" t="s">
        <v>217</v>
      </c>
      <c r="L25" s="20" t="s">
        <v>217</v>
      </c>
      <c r="M25" s="19" t="s">
        <v>218</v>
      </c>
      <c r="N25" s="19" t="s">
        <v>22</v>
      </c>
      <c r="O25" s="19"/>
      <c r="P25" s="20"/>
      <c r="Q25" s="20" t="s">
        <v>73</v>
      </c>
      <c r="R25" s="21">
        <v>45782</v>
      </c>
    </row>
    <row r="26" spans="1:18" ht="30" customHeight="1" x14ac:dyDescent="0.3">
      <c r="A26" s="19" t="s">
        <v>219</v>
      </c>
      <c r="B26" s="20" t="s">
        <v>220</v>
      </c>
      <c r="C26" s="19" t="s">
        <v>61</v>
      </c>
      <c r="D26" s="20" t="s">
        <v>220</v>
      </c>
      <c r="E26" s="20" t="s">
        <v>221</v>
      </c>
      <c r="F26" s="19" t="s">
        <v>64</v>
      </c>
      <c r="G26" s="19" t="s">
        <v>83</v>
      </c>
      <c r="H26" s="20" t="s">
        <v>222</v>
      </c>
      <c r="I26" s="20" t="s">
        <v>223</v>
      </c>
      <c r="J26" s="20" t="s">
        <v>93</v>
      </c>
      <c r="K26" s="20" t="s">
        <v>224</v>
      </c>
      <c r="L26" s="20" t="s">
        <v>224</v>
      </c>
      <c r="M26" s="19" t="s">
        <v>225</v>
      </c>
      <c r="N26" s="19" t="s">
        <v>22</v>
      </c>
      <c r="O26" s="19"/>
      <c r="P26" s="20"/>
      <c r="Q26" s="20" t="s">
        <v>73</v>
      </c>
      <c r="R26" s="21">
        <v>45782</v>
      </c>
    </row>
    <row r="27" spans="1:18" ht="55.5" customHeight="1" x14ac:dyDescent="0.3">
      <c r="A27" s="19" t="s">
        <v>226</v>
      </c>
      <c r="B27" s="20" t="s">
        <v>227</v>
      </c>
      <c r="C27" s="19" t="s">
        <v>61</v>
      </c>
      <c r="D27" s="20" t="s">
        <v>220</v>
      </c>
      <c r="E27" s="20" t="s">
        <v>228</v>
      </c>
      <c r="F27" s="19" t="s">
        <v>64</v>
      </c>
      <c r="G27" s="19" t="s">
        <v>65</v>
      </c>
      <c r="H27" s="20" t="s">
        <v>229</v>
      </c>
      <c r="I27" s="20" t="s">
        <v>230</v>
      </c>
      <c r="J27" s="20" t="s">
        <v>231</v>
      </c>
      <c r="K27" s="20" t="s">
        <v>232</v>
      </c>
      <c r="L27" s="20" t="s">
        <v>232</v>
      </c>
      <c r="M27" s="19" t="s">
        <v>233</v>
      </c>
      <c r="N27" s="19" t="s">
        <v>22</v>
      </c>
      <c r="O27" s="19"/>
      <c r="P27" s="20"/>
      <c r="Q27" s="20" t="s">
        <v>73</v>
      </c>
      <c r="R27" s="21">
        <v>45782</v>
      </c>
    </row>
    <row r="28" spans="1:18" ht="42.75" customHeight="1" x14ac:dyDescent="0.3">
      <c r="A28" s="19" t="s">
        <v>234</v>
      </c>
      <c r="B28" s="20" t="s">
        <v>227</v>
      </c>
      <c r="C28" s="19" t="s">
        <v>61</v>
      </c>
      <c r="D28" s="20" t="s">
        <v>220</v>
      </c>
      <c r="E28" s="20" t="s">
        <v>235</v>
      </c>
      <c r="F28" s="19" t="s">
        <v>76</v>
      </c>
      <c r="G28" s="19" t="s">
        <v>83</v>
      </c>
      <c r="H28" s="20" t="s">
        <v>229</v>
      </c>
      <c r="I28" s="20" t="s">
        <v>236</v>
      </c>
      <c r="J28" s="20" t="s">
        <v>93</v>
      </c>
      <c r="K28" s="20" t="s">
        <v>237</v>
      </c>
      <c r="L28" s="20" t="s">
        <v>238</v>
      </c>
      <c r="M28" s="19" t="s">
        <v>233</v>
      </c>
      <c r="N28" s="19" t="s">
        <v>22</v>
      </c>
      <c r="O28" s="19" t="s">
        <v>239</v>
      </c>
      <c r="P28" s="20" t="s">
        <v>238</v>
      </c>
      <c r="Q28" s="20" t="s">
        <v>73</v>
      </c>
      <c r="R28" s="21">
        <v>45782</v>
      </c>
    </row>
    <row r="29" spans="1:18" ht="55.5" customHeight="1" x14ac:dyDescent="0.3">
      <c r="A29" s="19" t="s">
        <v>240</v>
      </c>
      <c r="B29" s="20" t="s">
        <v>241</v>
      </c>
      <c r="C29" s="19" t="s">
        <v>61</v>
      </c>
      <c r="D29" s="20" t="s">
        <v>220</v>
      </c>
      <c r="E29" s="20" t="s">
        <v>242</v>
      </c>
      <c r="F29" s="19" t="s">
        <v>64</v>
      </c>
      <c r="G29" s="19" t="s">
        <v>83</v>
      </c>
      <c r="H29" s="20" t="s">
        <v>222</v>
      </c>
      <c r="I29" s="20" t="s">
        <v>243</v>
      </c>
      <c r="J29" s="20" t="s">
        <v>93</v>
      </c>
      <c r="K29" s="20" t="s">
        <v>244</v>
      </c>
      <c r="L29" s="20" t="s">
        <v>244</v>
      </c>
      <c r="M29" s="19" t="s">
        <v>245</v>
      </c>
      <c r="N29" s="19" t="s">
        <v>22</v>
      </c>
      <c r="O29" s="19"/>
      <c r="P29" s="20"/>
      <c r="Q29" s="20" t="s">
        <v>73</v>
      </c>
      <c r="R29" s="21">
        <v>45782</v>
      </c>
    </row>
    <row r="30" spans="1:18" ht="42.75" customHeight="1" x14ac:dyDescent="0.3">
      <c r="A30" s="19" t="s">
        <v>246</v>
      </c>
      <c r="B30" s="20" t="s">
        <v>227</v>
      </c>
      <c r="C30" s="19" t="s">
        <v>61</v>
      </c>
      <c r="D30" s="20" t="s">
        <v>241</v>
      </c>
      <c r="E30" s="20" t="s">
        <v>247</v>
      </c>
      <c r="F30" s="19" t="s">
        <v>64</v>
      </c>
      <c r="G30" s="19" t="s">
        <v>83</v>
      </c>
      <c r="H30" s="20" t="s">
        <v>248</v>
      </c>
      <c r="I30" s="20" t="s">
        <v>249</v>
      </c>
      <c r="J30" s="20" t="s">
        <v>93</v>
      </c>
      <c r="K30" s="20" t="s">
        <v>250</v>
      </c>
      <c r="L30" s="20" t="s">
        <v>250</v>
      </c>
      <c r="M30" s="19" t="s">
        <v>251</v>
      </c>
      <c r="N30" s="19" t="s">
        <v>22</v>
      </c>
      <c r="O30" s="19"/>
      <c r="P30" s="20"/>
      <c r="Q30" s="20" t="s">
        <v>73</v>
      </c>
      <c r="R30" s="21">
        <v>45782</v>
      </c>
    </row>
    <row r="31" spans="1:18" ht="30" customHeight="1" x14ac:dyDescent="0.3">
      <c r="A31" s="19" t="s">
        <v>252</v>
      </c>
      <c r="B31" s="20" t="s">
        <v>253</v>
      </c>
      <c r="C31" s="19" t="s">
        <v>254</v>
      </c>
      <c r="D31" s="20" t="s">
        <v>255</v>
      </c>
      <c r="E31" s="20" t="s">
        <v>256</v>
      </c>
      <c r="F31" s="19" t="s">
        <v>64</v>
      </c>
      <c r="G31" s="19" t="s">
        <v>83</v>
      </c>
      <c r="H31" s="20" t="s">
        <v>257</v>
      </c>
      <c r="I31" s="20" t="s">
        <v>258</v>
      </c>
      <c r="J31" s="20" t="s">
        <v>93</v>
      </c>
      <c r="K31" s="20" t="s">
        <v>259</v>
      </c>
      <c r="L31" s="20" t="s">
        <v>259</v>
      </c>
      <c r="M31" s="19" t="s">
        <v>260</v>
      </c>
      <c r="N31" s="19" t="s">
        <v>22</v>
      </c>
      <c r="O31" s="19"/>
      <c r="P31" s="20"/>
      <c r="Q31" s="20" t="s">
        <v>73</v>
      </c>
      <c r="R31" s="21">
        <v>45782</v>
      </c>
    </row>
    <row r="32" spans="1:18" ht="55.5" customHeight="1" x14ac:dyDescent="0.3">
      <c r="A32" s="19" t="s">
        <v>261</v>
      </c>
      <c r="B32" s="20" t="s">
        <v>262</v>
      </c>
      <c r="C32" s="19" t="s">
        <v>254</v>
      </c>
      <c r="D32" s="20" t="s">
        <v>255</v>
      </c>
      <c r="E32" s="20" t="s">
        <v>263</v>
      </c>
      <c r="F32" s="19" t="s">
        <v>64</v>
      </c>
      <c r="G32" s="19" t="s">
        <v>65</v>
      </c>
      <c r="H32" s="20" t="s">
        <v>264</v>
      </c>
      <c r="I32" s="20" t="s">
        <v>265</v>
      </c>
      <c r="J32" s="20" t="s">
        <v>93</v>
      </c>
      <c r="K32" s="20" t="s">
        <v>266</v>
      </c>
      <c r="L32" s="20" t="s">
        <v>266</v>
      </c>
      <c r="M32" s="19" t="s">
        <v>267</v>
      </c>
      <c r="N32" s="19" t="s">
        <v>22</v>
      </c>
      <c r="O32" s="19" t="s">
        <v>268</v>
      </c>
      <c r="P32" s="20" t="s">
        <v>269</v>
      </c>
      <c r="Q32" s="20" t="s">
        <v>73</v>
      </c>
      <c r="R32" s="21">
        <v>45782</v>
      </c>
    </row>
    <row r="33" spans="1:18" ht="55.5" customHeight="1" x14ac:dyDescent="0.3">
      <c r="A33" s="19" t="s">
        <v>270</v>
      </c>
      <c r="B33" s="20" t="s">
        <v>227</v>
      </c>
      <c r="C33" s="19" t="s">
        <v>254</v>
      </c>
      <c r="D33" s="20" t="s">
        <v>255</v>
      </c>
      <c r="E33" s="20" t="s">
        <v>271</v>
      </c>
      <c r="F33" s="19" t="s">
        <v>64</v>
      </c>
      <c r="G33" s="19" t="s">
        <v>65</v>
      </c>
      <c r="H33" s="20" t="s">
        <v>272</v>
      </c>
      <c r="I33" s="20" t="s">
        <v>273</v>
      </c>
      <c r="J33" s="20" t="s">
        <v>274</v>
      </c>
      <c r="K33" s="20" t="s">
        <v>275</v>
      </c>
      <c r="L33" s="20" t="s">
        <v>275</v>
      </c>
      <c r="M33" s="19" t="s">
        <v>276</v>
      </c>
      <c r="N33" s="19" t="s">
        <v>22</v>
      </c>
      <c r="O33" s="19"/>
      <c r="P33" s="20"/>
      <c r="Q33" s="20" t="s">
        <v>73</v>
      </c>
      <c r="R33" s="21">
        <v>45782</v>
      </c>
    </row>
    <row r="34" spans="1:18" ht="55.5" customHeight="1" x14ac:dyDescent="0.3">
      <c r="A34" s="19" t="s">
        <v>277</v>
      </c>
      <c r="B34" s="20" t="s">
        <v>227</v>
      </c>
      <c r="C34" s="19" t="s">
        <v>254</v>
      </c>
      <c r="D34" s="20" t="s">
        <v>255</v>
      </c>
      <c r="E34" s="20" t="s">
        <v>278</v>
      </c>
      <c r="F34" s="19" t="s">
        <v>76</v>
      </c>
      <c r="G34" s="19" t="s">
        <v>65</v>
      </c>
      <c r="H34" s="20" t="s">
        <v>279</v>
      </c>
      <c r="I34" s="20" t="s">
        <v>280</v>
      </c>
      <c r="J34" s="20" t="s">
        <v>281</v>
      </c>
      <c r="K34" s="20" t="s">
        <v>282</v>
      </c>
      <c r="L34" s="20" t="s">
        <v>283</v>
      </c>
      <c r="M34" s="19" t="s">
        <v>276</v>
      </c>
      <c r="N34" s="19" t="s">
        <v>22</v>
      </c>
      <c r="O34" s="19" t="s">
        <v>284</v>
      </c>
      <c r="P34" s="20" t="s">
        <v>283</v>
      </c>
      <c r="Q34" s="20" t="s">
        <v>73</v>
      </c>
      <c r="R34" s="21">
        <v>45782</v>
      </c>
    </row>
    <row r="35" spans="1:18" ht="69" customHeight="1" x14ac:dyDescent="0.3">
      <c r="A35" s="19" t="s">
        <v>285</v>
      </c>
      <c r="B35" s="20" t="s">
        <v>227</v>
      </c>
      <c r="C35" s="19" t="s">
        <v>254</v>
      </c>
      <c r="D35" s="20" t="s">
        <v>255</v>
      </c>
      <c r="E35" s="20" t="s">
        <v>286</v>
      </c>
      <c r="F35" s="19" t="s">
        <v>64</v>
      </c>
      <c r="G35" s="19" t="s">
        <v>65</v>
      </c>
      <c r="H35" s="20" t="s">
        <v>287</v>
      </c>
      <c r="I35" s="20" t="s">
        <v>288</v>
      </c>
      <c r="J35" s="20" t="s">
        <v>93</v>
      </c>
      <c r="K35" s="20" t="s">
        <v>289</v>
      </c>
      <c r="L35" s="20" t="s">
        <v>289</v>
      </c>
      <c r="M35" s="19" t="s">
        <v>290</v>
      </c>
      <c r="N35" s="19" t="s">
        <v>22</v>
      </c>
      <c r="O35" s="19"/>
      <c r="P35" s="20"/>
      <c r="Q35" s="20" t="s">
        <v>73</v>
      </c>
      <c r="R35" s="21">
        <v>45782</v>
      </c>
    </row>
    <row r="36" spans="1:18" ht="30" customHeight="1" x14ac:dyDescent="0.3">
      <c r="A36" s="19" t="s">
        <v>291</v>
      </c>
      <c r="B36" s="20" t="s">
        <v>60</v>
      </c>
      <c r="C36" s="19" t="s">
        <v>254</v>
      </c>
      <c r="D36" s="20" t="s">
        <v>255</v>
      </c>
      <c r="E36" s="20" t="s">
        <v>292</v>
      </c>
      <c r="F36" s="19" t="s">
        <v>64</v>
      </c>
      <c r="G36" s="19" t="s">
        <v>293</v>
      </c>
      <c r="H36" s="20" t="s">
        <v>294</v>
      </c>
      <c r="I36" s="20" t="s">
        <v>295</v>
      </c>
      <c r="J36" s="20" t="s">
        <v>93</v>
      </c>
      <c r="K36" s="20" t="s">
        <v>296</v>
      </c>
      <c r="L36" s="20" t="s">
        <v>296</v>
      </c>
      <c r="M36" s="19" t="s">
        <v>297</v>
      </c>
      <c r="N36" s="19" t="s">
        <v>22</v>
      </c>
      <c r="O36" s="19"/>
      <c r="P36" s="20"/>
      <c r="Q36" s="20" t="s">
        <v>73</v>
      </c>
      <c r="R36" s="21">
        <v>45782</v>
      </c>
    </row>
    <row r="37" spans="1:18" ht="30" customHeight="1" x14ac:dyDescent="0.3">
      <c r="A37" s="19" t="s">
        <v>298</v>
      </c>
      <c r="B37" s="20" t="s">
        <v>253</v>
      </c>
      <c r="C37" s="19" t="s">
        <v>254</v>
      </c>
      <c r="D37" s="20" t="s">
        <v>255</v>
      </c>
      <c r="E37" s="20" t="s">
        <v>299</v>
      </c>
      <c r="F37" s="19" t="s">
        <v>64</v>
      </c>
      <c r="G37" s="19" t="s">
        <v>83</v>
      </c>
      <c r="H37" s="20" t="s">
        <v>294</v>
      </c>
      <c r="I37" s="20" t="s">
        <v>300</v>
      </c>
      <c r="J37" s="20" t="s">
        <v>93</v>
      </c>
      <c r="K37" s="20" t="s">
        <v>301</v>
      </c>
      <c r="L37" s="20" t="s">
        <v>301</v>
      </c>
      <c r="M37" s="19" t="s">
        <v>302</v>
      </c>
      <c r="N37" s="19" t="s">
        <v>22</v>
      </c>
      <c r="O37" s="19"/>
      <c r="P37" s="20"/>
      <c r="Q37" s="20" t="s">
        <v>73</v>
      </c>
      <c r="R37" s="21">
        <v>45782</v>
      </c>
    </row>
  </sheetData>
  <autoFilter ref="A4:R37" xr:uid="{00000000-0009-0000-0000-000001000000}"/>
  <conditionalFormatting sqref="N5:N37">
    <cfRule type="cellIs" dxfId="15" priority="2" operator="equal">
      <formula>"Pass"</formula>
    </cfRule>
    <cfRule type="cellIs" dxfId="14" priority="3" operator="equal">
      <formula>"Fail"</formula>
    </cfRule>
    <cfRule type="cellIs" dxfId="13" priority="4" operator="equal">
      <formula>"Blocked"</formula>
    </cfRule>
    <cfRule type="cellIs" dxfId="12" priority="5" operator="equal">
      <formula>"Not Run"</formula>
    </cfRule>
  </conditionalFormatting>
  <dataValidations count="1">
    <dataValidation type="list" sqref="N5:N37" xr:uid="{00000000-0002-0000-0100-000000000000}">
      <formula1>"Pass,Fail,Blocked,Not Run"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35"/>
  <sheetViews>
    <sheetView zoomScaleNormal="100" workbookViewId="0">
      <pane xSplit="5" ySplit="4" topLeftCell="I6" activePane="bottomRight" state="frozen"/>
      <selection pane="topRight" activeCell="F1" sqref="F1"/>
      <selection pane="bottomLeft" activeCell="A5" sqref="A5"/>
      <selection pane="bottomRight" activeCell="A2" sqref="A2"/>
    </sheetView>
  </sheetViews>
  <sheetFormatPr defaultColWidth="8.6640625" defaultRowHeight="14.4" x14ac:dyDescent="0.3"/>
  <cols>
    <col min="1" max="1" width="10" customWidth="1"/>
    <col min="2" max="2" width="12" customWidth="1"/>
    <col min="3" max="3" width="26" customWidth="1"/>
    <col min="4" max="4" width="18" customWidth="1"/>
    <col min="5" max="5" width="38" customWidth="1"/>
    <col min="6" max="6" width="10" customWidth="1"/>
    <col min="7" max="7" width="9" customWidth="1"/>
    <col min="8" max="8" width="24" customWidth="1"/>
    <col min="9" max="9" width="52" customWidth="1"/>
    <col min="10" max="11" width="34" customWidth="1"/>
    <col min="12" max="12" width="8" customWidth="1"/>
    <col min="13" max="13" width="9" customWidth="1"/>
    <col min="14" max="14" width="11" customWidth="1"/>
    <col min="15" max="15" width="10" customWidth="1"/>
    <col min="16" max="16" width="20" customWidth="1"/>
    <col min="17" max="17" width="13" customWidth="1"/>
  </cols>
  <sheetData>
    <row r="1" spans="1:17" ht="17.399999999999999" x14ac:dyDescent="0.3">
      <c r="A1" s="16" t="s">
        <v>303</v>
      </c>
    </row>
    <row r="2" spans="1:17" x14ac:dyDescent="0.3">
      <c r="A2" s="17"/>
    </row>
    <row r="4" spans="1:17" ht="30" customHeight="1" x14ac:dyDescent="0.3">
      <c r="A4" s="18" t="s">
        <v>304</v>
      </c>
      <c r="B4" s="18" t="s">
        <v>305</v>
      </c>
      <c r="C4" s="18" t="s">
        <v>306</v>
      </c>
      <c r="D4" s="18" t="s">
        <v>43</v>
      </c>
      <c r="E4" s="18" t="s">
        <v>307</v>
      </c>
      <c r="F4" s="18" t="s">
        <v>47</v>
      </c>
      <c r="G4" s="18" t="s">
        <v>37</v>
      </c>
      <c r="H4" s="18" t="s">
        <v>48</v>
      </c>
      <c r="I4" s="18" t="s">
        <v>308</v>
      </c>
      <c r="J4" s="18" t="s">
        <v>51</v>
      </c>
      <c r="K4" s="18" t="s">
        <v>52</v>
      </c>
      <c r="L4" s="18" t="s">
        <v>309</v>
      </c>
      <c r="M4" s="18" t="s">
        <v>310</v>
      </c>
      <c r="N4" s="18" t="s">
        <v>311</v>
      </c>
      <c r="O4" s="18" t="s">
        <v>312</v>
      </c>
      <c r="P4" s="18" t="s">
        <v>313</v>
      </c>
      <c r="Q4" s="18" t="s">
        <v>314</v>
      </c>
    </row>
    <row r="5" spans="1:17" ht="30" customHeight="1" x14ac:dyDescent="0.3">
      <c r="A5" s="19" t="s">
        <v>315</v>
      </c>
      <c r="B5" s="19" t="s">
        <v>316</v>
      </c>
      <c r="C5" s="20" t="s">
        <v>317</v>
      </c>
      <c r="D5" s="20" t="s">
        <v>60</v>
      </c>
      <c r="E5" s="20" t="s">
        <v>318</v>
      </c>
      <c r="F5" s="19" t="s">
        <v>64</v>
      </c>
      <c r="G5" s="19" t="s">
        <v>65</v>
      </c>
      <c r="H5" s="20" t="s">
        <v>319</v>
      </c>
      <c r="I5" s="20" t="s">
        <v>320</v>
      </c>
      <c r="J5" s="20" t="s">
        <v>321</v>
      </c>
      <c r="K5" s="20" t="s">
        <v>321</v>
      </c>
      <c r="L5" s="19">
        <v>1</v>
      </c>
      <c r="M5" s="19" t="s">
        <v>22</v>
      </c>
      <c r="N5" s="19">
        <v>19</v>
      </c>
      <c r="O5" s="19" t="s">
        <v>322</v>
      </c>
      <c r="P5" s="20" t="s">
        <v>73</v>
      </c>
      <c r="Q5" s="21">
        <v>45789</v>
      </c>
    </row>
    <row r="6" spans="1:17" ht="30" customHeight="1" x14ac:dyDescent="0.3">
      <c r="A6" s="19" t="s">
        <v>323</v>
      </c>
      <c r="B6" s="19" t="s">
        <v>316</v>
      </c>
      <c r="C6" s="20" t="s">
        <v>317</v>
      </c>
      <c r="D6" s="20" t="s">
        <v>60</v>
      </c>
      <c r="E6" s="20" t="s">
        <v>324</v>
      </c>
      <c r="F6" s="19" t="s">
        <v>76</v>
      </c>
      <c r="G6" s="19" t="s">
        <v>65</v>
      </c>
      <c r="H6" s="20" t="s">
        <v>93</v>
      </c>
      <c r="I6" s="20" t="s">
        <v>325</v>
      </c>
      <c r="J6" s="20" t="s">
        <v>326</v>
      </c>
      <c r="K6" s="20" t="s">
        <v>326</v>
      </c>
      <c r="L6" s="19">
        <v>1</v>
      </c>
      <c r="M6" s="19" t="s">
        <v>22</v>
      </c>
      <c r="N6" s="19">
        <v>19</v>
      </c>
      <c r="O6" s="19" t="s">
        <v>93</v>
      </c>
      <c r="P6" s="20" t="s">
        <v>73</v>
      </c>
      <c r="Q6" s="21">
        <v>45789</v>
      </c>
    </row>
    <row r="7" spans="1:17" ht="30" customHeight="1" x14ac:dyDescent="0.3">
      <c r="A7" s="19" t="s">
        <v>327</v>
      </c>
      <c r="B7" s="19" t="s">
        <v>328</v>
      </c>
      <c r="C7" s="20" t="s">
        <v>329</v>
      </c>
      <c r="D7" s="20" t="s">
        <v>191</v>
      </c>
      <c r="E7" s="20" t="s">
        <v>330</v>
      </c>
      <c r="F7" s="19" t="s">
        <v>64</v>
      </c>
      <c r="G7" s="19" t="s">
        <v>65</v>
      </c>
      <c r="H7" s="20" t="s">
        <v>331</v>
      </c>
      <c r="I7" s="20" t="s">
        <v>332</v>
      </c>
      <c r="J7" s="20" t="s">
        <v>333</v>
      </c>
      <c r="K7" s="20" t="s">
        <v>333</v>
      </c>
      <c r="L7" s="19">
        <v>1</v>
      </c>
      <c r="M7" s="19" t="s">
        <v>22</v>
      </c>
      <c r="N7" s="19">
        <v>37</v>
      </c>
      <c r="O7" s="19" t="s">
        <v>93</v>
      </c>
      <c r="P7" s="20" t="s">
        <v>73</v>
      </c>
      <c r="Q7" s="21">
        <v>45789</v>
      </c>
    </row>
    <row r="8" spans="1:17" ht="30" customHeight="1" x14ac:dyDescent="0.3">
      <c r="A8" s="19" t="s">
        <v>334</v>
      </c>
      <c r="B8" s="19" t="s">
        <v>328</v>
      </c>
      <c r="C8" s="20" t="s">
        <v>329</v>
      </c>
      <c r="D8" s="20" t="s">
        <v>191</v>
      </c>
      <c r="E8" s="20" t="s">
        <v>335</v>
      </c>
      <c r="F8" s="19" t="s">
        <v>76</v>
      </c>
      <c r="G8" s="19" t="s">
        <v>83</v>
      </c>
      <c r="H8" s="20" t="s">
        <v>331</v>
      </c>
      <c r="I8" s="20" t="s">
        <v>336</v>
      </c>
      <c r="J8" s="20" t="s">
        <v>337</v>
      </c>
      <c r="K8" s="20" t="s">
        <v>337</v>
      </c>
      <c r="L8" s="19">
        <v>1</v>
      </c>
      <c r="M8" s="19" t="s">
        <v>22</v>
      </c>
      <c r="N8" s="19">
        <v>37</v>
      </c>
      <c r="O8" s="19" t="s">
        <v>338</v>
      </c>
      <c r="P8" s="20" t="s">
        <v>73</v>
      </c>
      <c r="Q8" s="21">
        <v>45789</v>
      </c>
    </row>
    <row r="9" spans="1:17" ht="18" customHeight="1" x14ac:dyDescent="0.3">
      <c r="A9" s="19" t="s">
        <v>339</v>
      </c>
      <c r="B9" s="19" t="s">
        <v>328</v>
      </c>
      <c r="C9" s="20" t="s">
        <v>329</v>
      </c>
      <c r="D9" s="20" t="s">
        <v>191</v>
      </c>
      <c r="E9" s="20" t="s">
        <v>340</v>
      </c>
      <c r="F9" s="19" t="s">
        <v>64</v>
      </c>
      <c r="G9" s="19" t="s">
        <v>83</v>
      </c>
      <c r="H9" s="20" t="s">
        <v>341</v>
      </c>
      <c r="I9" s="20" t="s">
        <v>342</v>
      </c>
      <c r="J9" s="20" t="s">
        <v>343</v>
      </c>
      <c r="K9" s="20" t="s">
        <v>343</v>
      </c>
      <c r="L9" s="19">
        <v>1</v>
      </c>
      <c r="M9" s="19" t="s">
        <v>22</v>
      </c>
      <c r="N9" s="19">
        <v>37</v>
      </c>
      <c r="O9" s="19" t="s">
        <v>93</v>
      </c>
      <c r="P9" s="20" t="s">
        <v>73</v>
      </c>
      <c r="Q9" s="21">
        <v>45789</v>
      </c>
    </row>
    <row r="10" spans="1:17" ht="18" customHeight="1" x14ac:dyDescent="0.3">
      <c r="A10" s="19" t="s">
        <v>344</v>
      </c>
      <c r="B10" s="19" t="s">
        <v>345</v>
      </c>
      <c r="C10" s="20" t="s">
        <v>346</v>
      </c>
      <c r="D10" s="20" t="s">
        <v>347</v>
      </c>
      <c r="E10" s="20" t="s">
        <v>348</v>
      </c>
      <c r="F10" s="19" t="s">
        <v>64</v>
      </c>
      <c r="G10" s="19" t="s">
        <v>83</v>
      </c>
      <c r="H10" s="20" t="s">
        <v>331</v>
      </c>
      <c r="I10" s="20" t="s">
        <v>349</v>
      </c>
      <c r="J10" s="20" t="s">
        <v>350</v>
      </c>
      <c r="K10" s="20" t="s">
        <v>350</v>
      </c>
      <c r="L10" s="19">
        <v>1</v>
      </c>
      <c r="M10" s="19" t="s">
        <v>22</v>
      </c>
      <c r="N10" s="19">
        <v>16</v>
      </c>
      <c r="O10" s="19" t="s">
        <v>93</v>
      </c>
      <c r="P10" s="20" t="s">
        <v>73</v>
      </c>
      <c r="Q10" s="21">
        <v>45789</v>
      </c>
    </row>
    <row r="11" spans="1:17" ht="30" customHeight="1" x14ac:dyDescent="0.3">
      <c r="A11" s="19" t="s">
        <v>351</v>
      </c>
      <c r="B11" s="19" t="s">
        <v>352</v>
      </c>
      <c r="C11" s="20" t="s">
        <v>353</v>
      </c>
      <c r="D11" s="20" t="s">
        <v>354</v>
      </c>
      <c r="E11" s="20" t="s">
        <v>145</v>
      </c>
      <c r="F11" s="19" t="s">
        <v>64</v>
      </c>
      <c r="G11" s="19" t="s">
        <v>83</v>
      </c>
      <c r="H11" s="20" t="s">
        <v>331</v>
      </c>
      <c r="I11" s="20" t="s">
        <v>355</v>
      </c>
      <c r="J11" s="20" t="s">
        <v>356</v>
      </c>
      <c r="K11" s="20" t="s">
        <v>356</v>
      </c>
      <c r="L11" s="19">
        <v>1</v>
      </c>
      <c r="M11" s="19" t="s">
        <v>22</v>
      </c>
      <c r="N11" s="19">
        <v>16</v>
      </c>
      <c r="O11" s="19" t="s">
        <v>93</v>
      </c>
      <c r="P11" s="20" t="s">
        <v>73</v>
      </c>
      <c r="Q11" s="21">
        <v>45789</v>
      </c>
    </row>
    <row r="12" spans="1:17" ht="18" customHeight="1" x14ac:dyDescent="0.3">
      <c r="A12" s="19" t="s">
        <v>357</v>
      </c>
      <c r="B12" s="19" t="s">
        <v>352</v>
      </c>
      <c r="C12" s="20" t="s">
        <v>353</v>
      </c>
      <c r="D12" s="20" t="s">
        <v>354</v>
      </c>
      <c r="E12" s="20" t="s">
        <v>358</v>
      </c>
      <c r="F12" s="19" t="s">
        <v>76</v>
      </c>
      <c r="G12" s="19" t="s">
        <v>83</v>
      </c>
      <c r="H12" s="20" t="s">
        <v>331</v>
      </c>
      <c r="I12" s="20" t="s">
        <v>359</v>
      </c>
      <c r="J12" s="20" t="s">
        <v>360</v>
      </c>
      <c r="K12" s="20" t="s">
        <v>360</v>
      </c>
      <c r="L12" s="19">
        <v>1</v>
      </c>
      <c r="M12" s="19" t="s">
        <v>22</v>
      </c>
      <c r="N12" s="19">
        <v>16</v>
      </c>
      <c r="O12" s="19" t="s">
        <v>93</v>
      </c>
      <c r="P12" s="20" t="s">
        <v>73</v>
      </c>
      <c r="Q12" s="21">
        <v>45789</v>
      </c>
    </row>
    <row r="13" spans="1:17" ht="18" customHeight="1" x14ac:dyDescent="0.3">
      <c r="A13" s="19" t="s">
        <v>361</v>
      </c>
      <c r="B13" s="19" t="s">
        <v>352</v>
      </c>
      <c r="C13" s="20" t="s">
        <v>353</v>
      </c>
      <c r="D13" s="20" t="s">
        <v>354</v>
      </c>
      <c r="E13" s="20" t="s">
        <v>362</v>
      </c>
      <c r="F13" s="19" t="s">
        <v>64</v>
      </c>
      <c r="G13" s="19" t="s">
        <v>293</v>
      </c>
      <c r="H13" s="20" t="s">
        <v>363</v>
      </c>
      <c r="I13" s="20" t="s">
        <v>364</v>
      </c>
      <c r="J13" s="20" t="s">
        <v>343</v>
      </c>
      <c r="K13" s="20" t="s">
        <v>343</v>
      </c>
      <c r="L13" s="19">
        <v>1</v>
      </c>
      <c r="M13" s="19" t="s">
        <v>22</v>
      </c>
      <c r="N13" s="19">
        <v>16</v>
      </c>
      <c r="O13" s="19" t="s">
        <v>93</v>
      </c>
      <c r="P13" s="20" t="s">
        <v>73</v>
      </c>
      <c r="Q13" s="21">
        <v>45789</v>
      </c>
    </row>
    <row r="14" spans="1:17" ht="30" customHeight="1" x14ac:dyDescent="0.3">
      <c r="A14" s="19" t="s">
        <v>365</v>
      </c>
      <c r="B14" s="19" t="s">
        <v>366</v>
      </c>
      <c r="C14" s="20" t="s">
        <v>367</v>
      </c>
      <c r="D14" s="20" t="s">
        <v>131</v>
      </c>
      <c r="E14" s="20" t="s">
        <v>132</v>
      </c>
      <c r="F14" s="19" t="s">
        <v>64</v>
      </c>
      <c r="G14" s="19" t="s">
        <v>65</v>
      </c>
      <c r="H14" s="20" t="s">
        <v>331</v>
      </c>
      <c r="I14" s="20" t="s">
        <v>368</v>
      </c>
      <c r="J14" s="20" t="s">
        <v>333</v>
      </c>
      <c r="K14" s="20" t="s">
        <v>333</v>
      </c>
      <c r="L14" s="19">
        <v>1</v>
      </c>
      <c r="M14" s="19" t="s">
        <v>22</v>
      </c>
      <c r="N14" s="19">
        <v>16</v>
      </c>
      <c r="O14" s="19" t="s">
        <v>93</v>
      </c>
      <c r="P14" s="20" t="s">
        <v>73</v>
      </c>
      <c r="Q14" s="21">
        <v>45789</v>
      </c>
    </row>
    <row r="15" spans="1:17" ht="30" customHeight="1" x14ac:dyDescent="0.3">
      <c r="A15" s="19" t="s">
        <v>369</v>
      </c>
      <c r="B15" s="19" t="s">
        <v>366</v>
      </c>
      <c r="C15" s="20" t="s">
        <v>367</v>
      </c>
      <c r="D15" s="20" t="s">
        <v>131</v>
      </c>
      <c r="E15" s="20" t="s">
        <v>370</v>
      </c>
      <c r="F15" s="19" t="s">
        <v>64</v>
      </c>
      <c r="G15" s="19" t="s">
        <v>83</v>
      </c>
      <c r="H15" s="20" t="s">
        <v>371</v>
      </c>
      <c r="I15" s="20" t="s">
        <v>372</v>
      </c>
      <c r="J15" s="20" t="s">
        <v>373</v>
      </c>
      <c r="K15" s="20" t="s">
        <v>373</v>
      </c>
      <c r="L15" s="19">
        <v>1</v>
      </c>
      <c r="M15" s="19" t="s">
        <v>22</v>
      </c>
      <c r="N15" s="19">
        <v>16</v>
      </c>
      <c r="O15" s="19" t="s">
        <v>374</v>
      </c>
      <c r="P15" s="20" t="s">
        <v>73</v>
      </c>
      <c r="Q15" s="21">
        <v>45789</v>
      </c>
    </row>
    <row r="16" spans="1:17" ht="30" customHeight="1" x14ac:dyDescent="0.3">
      <c r="A16" s="19" t="s">
        <v>375</v>
      </c>
      <c r="B16" s="19" t="s">
        <v>376</v>
      </c>
      <c r="C16" s="20" t="s">
        <v>377</v>
      </c>
      <c r="D16" s="20" t="s">
        <v>378</v>
      </c>
      <c r="E16" s="20" t="s">
        <v>379</v>
      </c>
      <c r="F16" s="19" t="s">
        <v>64</v>
      </c>
      <c r="G16" s="19" t="s">
        <v>83</v>
      </c>
      <c r="H16" s="20" t="s">
        <v>331</v>
      </c>
      <c r="I16" s="20" t="s">
        <v>380</v>
      </c>
      <c r="J16" s="20" t="s">
        <v>381</v>
      </c>
      <c r="K16" s="20" t="s">
        <v>381</v>
      </c>
      <c r="L16" s="19">
        <v>1</v>
      </c>
      <c r="M16" s="19" t="s">
        <v>22</v>
      </c>
      <c r="N16" s="19">
        <v>16</v>
      </c>
      <c r="O16" s="19" t="s">
        <v>93</v>
      </c>
      <c r="P16" s="20" t="s">
        <v>73</v>
      </c>
      <c r="Q16" s="21">
        <v>45789</v>
      </c>
    </row>
    <row r="17" spans="1:17" ht="30" customHeight="1" x14ac:dyDescent="0.3">
      <c r="A17" s="19" t="s">
        <v>382</v>
      </c>
      <c r="B17" s="19" t="s">
        <v>383</v>
      </c>
      <c r="C17" s="20" t="s">
        <v>384</v>
      </c>
      <c r="D17" s="20" t="s">
        <v>385</v>
      </c>
      <c r="E17" s="20" t="s">
        <v>386</v>
      </c>
      <c r="F17" s="19" t="s">
        <v>64</v>
      </c>
      <c r="G17" s="19" t="s">
        <v>83</v>
      </c>
      <c r="H17" s="20" t="s">
        <v>331</v>
      </c>
      <c r="I17" s="20" t="s">
        <v>387</v>
      </c>
      <c r="J17" s="20" t="s">
        <v>388</v>
      </c>
      <c r="K17" s="20" t="s">
        <v>388</v>
      </c>
      <c r="L17" s="19">
        <v>1</v>
      </c>
      <c r="M17" s="19" t="s">
        <v>22</v>
      </c>
      <c r="N17" s="19">
        <v>16</v>
      </c>
      <c r="O17" s="19" t="s">
        <v>93</v>
      </c>
      <c r="P17" s="20" t="s">
        <v>73</v>
      </c>
      <c r="Q17" s="21">
        <v>45789</v>
      </c>
    </row>
    <row r="18" spans="1:17" ht="18" customHeight="1" x14ac:dyDescent="0.3">
      <c r="A18" s="19" t="s">
        <v>389</v>
      </c>
      <c r="B18" s="19" t="s">
        <v>390</v>
      </c>
      <c r="C18" s="20" t="s">
        <v>391</v>
      </c>
      <c r="D18" s="20" t="s">
        <v>208</v>
      </c>
      <c r="E18" s="20" t="s">
        <v>392</v>
      </c>
      <c r="F18" s="19" t="s">
        <v>64</v>
      </c>
      <c r="G18" s="19" t="s">
        <v>83</v>
      </c>
      <c r="H18" s="20" t="s">
        <v>331</v>
      </c>
      <c r="I18" s="20" t="s">
        <v>393</v>
      </c>
      <c r="J18" s="20" t="s">
        <v>394</v>
      </c>
      <c r="K18" s="20" t="s">
        <v>394</v>
      </c>
      <c r="L18" s="19">
        <v>1</v>
      </c>
      <c r="M18" s="19" t="s">
        <v>22</v>
      </c>
      <c r="N18" s="19">
        <v>16</v>
      </c>
      <c r="O18" s="19" t="s">
        <v>93</v>
      </c>
      <c r="P18" s="20" t="s">
        <v>73</v>
      </c>
      <c r="Q18" s="21">
        <v>45789</v>
      </c>
    </row>
    <row r="19" spans="1:17" ht="18" customHeight="1" x14ac:dyDescent="0.3">
      <c r="A19" s="19" t="s">
        <v>395</v>
      </c>
      <c r="B19" s="19" t="s">
        <v>396</v>
      </c>
      <c r="C19" s="20" t="s">
        <v>397</v>
      </c>
      <c r="D19" s="20" t="s">
        <v>208</v>
      </c>
      <c r="E19" s="20" t="s">
        <v>398</v>
      </c>
      <c r="F19" s="19" t="s">
        <v>64</v>
      </c>
      <c r="G19" s="19" t="s">
        <v>83</v>
      </c>
      <c r="H19" s="20" t="s">
        <v>331</v>
      </c>
      <c r="I19" s="20" t="s">
        <v>399</v>
      </c>
      <c r="J19" s="20" t="s">
        <v>400</v>
      </c>
      <c r="K19" s="20" t="s">
        <v>400</v>
      </c>
      <c r="L19" s="19">
        <v>1</v>
      </c>
      <c r="M19" s="19" t="s">
        <v>22</v>
      </c>
      <c r="N19" s="19">
        <v>16</v>
      </c>
      <c r="O19" s="19" t="s">
        <v>93</v>
      </c>
      <c r="P19" s="20" t="s">
        <v>73</v>
      </c>
      <c r="Q19" s="21">
        <v>45789</v>
      </c>
    </row>
    <row r="20" spans="1:17" ht="18" customHeight="1" x14ac:dyDescent="0.3">
      <c r="A20" s="19" t="s">
        <v>401</v>
      </c>
      <c r="B20" s="19" t="s">
        <v>402</v>
      </c>
      <c r="C20" s="20" t="s">
        <v>403</v>
      </c>
      <c r="D20" s="20" t="s">
        <v>208</v>
      </c>
      <c r="E20" s="20" t="s">
        <v>404</v>
      </c>
      <c r="F20" s="19" t="s">
        <v>64</v>
      </c>
      <c r="G20" s="19" t="s">
        <v>83</v>
      </c>
      <c r="H20" s="20" t="s">
        <v>331</v>
      </c>
      <c r="I20" s="20" t="s">
        <v>405</v>
      </c>
      <c r="J20" s="20" t="s">
        <v>406</v>
      </c>
      <c r="K20" s="20" t="s">
        <v>406</v>
      </c>
      <c r="L20" s="19">
        <v>1</v>
      </c>
      <c r="M20" s="19" t="s">
        <v>22</v>
      </c>
      <c r="N20" s="19">
        <v>16</v>
      </c>
      <c r="O20" s="19" t="s">
        <v>93</v>
      </c>
      <c r="P20" s="20" t="s">
        <v>73</v>
      </c>
      <c r="Q20" s="21">
        <v>45789</v>
      </c>
    </row>
    <row r="21" spans="1:17" ht="18" customHeight="1" x14ac:dyDescent="0.3">
      <c r="A21" s="19" t="s">
        <v>407</v>
      </c>
      <c r="B21" s="19" t="s">
        <v>408</v>
      </c>
      <c r="C21" s="20" t="s">
        <v>409</v>
      </c>
      <c r="D21" s="20" t="s">
        <v>410</v>
      </c>
      <c r="E21" s="20" t="s">
        <v>411</v>
      </c>
      <c r="F21" s="19" t="s">
        <v>64</v>
      </c>
      <c r="G21" s="19" t="s">
        <v>65</v>
      </c>
      <c r="H21" s="20" t="s">
        <v>331</v>
      </c>
      <c r="I21" s="20" t="s">
        <v>412</v>
      </c>
      <c r="J21" s="20" t="s">
        <v>413</v>
      </c>
      <c r="K21" s="20" t="s">
        <v>413</v>
      </c>
      <c r="L21" s="19">
        <v>1</v>
      </c>
      <c r="M21" s="19" t="s">
        <v>22</v>
      </c>
      <c r="N21" s="19" t="s">
        <v>414</v>
      </c>
      <c r="O21" s="19" t="s">
        <v>93</v>
      </c>
      <c r="P21" s="20" t="s">
        <v>73</v>
      </c>
      <c r="Q21" s="21">
        <v>45789</v>
      </c>
    </row>
    <row r="22" spans="1:17" ht="18" customHeight="1" x14ac:dyDescent="0.3">
      <c r="A22" s="19" t="s">
        <v>415</v>
      </c>
      <c r="B22" s="19" t="s">
        <v>408</v>
      </c>
      <c r="C22" s="20" t="s">
        <v>409</v>
      </c>
      <c r="D22" s="20" t="s">
        <v>410</v>
      </c>
      <c r="E22" s="20" t="s">
        <v>416</v>
      </c>
      <c r="F22" s="19" t="s">
        <v>76</v>
      </c>
      <c r="G22" s="19" t="s">
        <v>65</v>
      </c>
      <c r="H22" s="20" t="s">
        <v>331</v>
      </c>
      <c r="I22" s="20" t="s">
        <v>417</v>
      </c>
      <c r="J22" s="20" t="s">
        <v>418</v>
      </c>
      <c r="K22" s="20" t="s">
        <v>418</v>
      </c>
      <c r="L22" s="19">
        <v>1</v>
      </c>
      <c r="M22" s="19" t="s">
        <v>22</v>
      </c>
      <c r="N22" s="19" t="s">
        <v>414</v>
      </c>
      <c r="O22" s="19" t="s">
        <v>93</v>
      </c>
      <c r="P22" s="20" t="s">
        <v>73</v>
      </c>
      <c r="Q22" s="21">
        <v>45789</v>
      </c>
    </row>
    <row r="23" spans="1:17" ht="18" customHeight="1" x14ac:dyDescent="0.3">
      <c r="A23" s="19" t="s">
        <v>419</v>
      </c>
      <c r="B23" s="19" t="s">
        <v>408</v>
      </c>
      <c r="C23" s="20" t="s">
        <v>409</v>
      </c>
      <c r="D23" s="20" t="s">
        <v>410</v>
      </c>
      <c r="E23" s="20" t="s">
        <v>420</v>
      </c>
      <c r="F23" s="19" t="s">
        <v>64</v>
      </c>
      <c r="G23" s="19" t="s">
        <v>83</v>
      </c>
      <c r="H23" s="20" t="s">
        <v>421</v>
      </c>
      <c r="I23" s="20" t="s">
        <v>422</v>
      </c>
      <c r="J23" s="20" t="s">
        <v>423</v>
      </c>
      <c r="K23" s="20" t="s">
        <v>423</v>
      </c>
      <c r="L23" s="19">
        <v>1</v>
      </c>
      <c r="M23" s="19" t="s">
        <v>22</v>
      </c>
      <c r="N23" s="19" t="s">
        <v>414</v>
      </c>
      <c r="O23" s="19" t="s">
        <v>424</v>
      </c>
      <c r="P23" s="20" t="s">
        <v>73</v>
      </c>
      <c r="Q23" s="21">
        <v>45789</v>
      </c>
    </row>
    <row r="24" spans="1:17" ht="30" customHeight="1" x14ac:dyDescent="0.3">
      <c r="A24" s="19" t="s">
        <v>425</v>
      </c>
      <c r="B24" s="19" t="s">
        <v>426</v>
      </c>
      <c r="C24" s="20" t="s">
        <v>427</v>
      </c>
      <c r="D24" s="20" t="s">
        <v>200</v>
      </c>
      <c r="E24" s="20" t="s">
        <v>428</v>
      </c>
      <c r="F24" s="19" t="s">
        <v>64</v>
      </c>
      <c r="G24" s="19" t="s">
        <v>65</v>
      </c>
      <c r="H24" s="20" t="s">
        <v>429</v>
      </c>
      <c r="I24" s="20" t="s">
        <v>430</v>
      </c>
      <c r="J24" s="20" t="s">
        <v>431</v>
      </c>
      <c r="K24" s="20" t="s">
        <v>431</v>
      </c>
      <c r="L24" s="19">
        <v>1</v>
      </c>
      <c r="M24" s="19" t="s">
        <v>22</v>
      </c>
      <c r="N24" s="19" t="s">
        <v>414</v>
      </c>
      <c r="O24" s="19" t="s">
        <v>432</v>
      </c>
      <c r="P24" s="20" t="s">
        <v>73</v>
      </c>
      <c r="Q24" s="21">
        <v>45789</v>
      </c>
    </row>
    <row r="25" spans="1:17" ht="18" customHeight="1" x14ac:dyDescent="0.3">
      <c r="A25" s="19" t="s">
        <v>433</v>
      </c>
      <c r="B25" s="19" t="s">
        <v>434</v>
      </c>
      <c r="C25" s="20" t="s">
        <v>435</v>
      </c>
      <c r="D25" s="20" t="s">
        <v>175</v>
      </c>
      <c r="E25" s="20" t="s">
        <v>436</v>
      </c>
      <c r="F25" s="19" t="s">
        <v>64</v>
      </c>
      <c r="G25" s="19" t="s">
        <v>83</v>
      </c>
      <c r="H25" s="20" t="s">
        <v>331</v>
      </c>
      <c r="I25" s="20" t="s">
        <v>437</v>
      </c>
      <c r="J25" s="20" t="s">
        <v>438</v>
      </c>
      <c r="K25" s="20" t="s">
        <v>438</v>
      </c>
      <c r="L25" s="19">
        <v>1</v>
      </c>
      <c r="M25" s="19" t="s">
        <v>22</v>
      </c>
      <c r="N25" s="19" t="s">
        <v>414</v>
      </c>
      <c r="O25" s="19" t="s">
        <v>93</v>
      </c>
      <c r="P25" s="20" t="s">
        <v>73</v>
      </c>
      <c r="Q25" s="21">
        <v>45789</v>
      </c>
    </row>
    <row r="26" spans="1:17" ht="30" customHeight="1" x14ac:dyDescent="0.3">
      <c r="A26" s="19" t="s">
        <v>439</v>
      </c>
      <c r="B26" s="19" t="s">
        <v>440</v>
      </c>
      <c r="C26" s="20" t="s">
        <v>409</v>
      </c>
      <c r="D26" s="20" t="s">
        <v>410</v>
      </c>
      <c r="E26" s="20" t="s">
        <v>441</v>
      </c>
      <c r="F26" s="19" t="s">
        <v>76</v>
      </c>
      <c r="G26" s="19" t="s">
        <v>65</v>
      </c>
      <c r="H26" s="20" t="s">
        <v>442</v>
      </c>
      <c r="I26" s="20" t="s">
        <v>443</v>
      </c>
      <c r="J26" s="20" t="s">
        <v>444</v>
      </c>
      <c r="K26" s="20" t="s">
        <v>444</v>
      </c>
      <c r="L26" s="19">
        <v>1</v>
      </c>
      <c r="M26" s="19" t="s">
        <v>22</v>
      </c>
      <c r="N26" s="19" t="s">
        <v>414</v>
      </c>
      <c r="O26" s="19" t="s">
        <v>93</v>
      </c>
      <c r="P26" s="20" t="s">
        <v>73</v>
      </c>
      <c r="Q26" s="21">
        <v>45789</v>
      </c>
    </row>
    <row r="27" spans="1:17" ht="18" customHeight="1" x14ac:dyDescent="0.3">
      <c r="A27" s="19" t="s">
        <v>445</v>
      </c>
      <c r="B27" s="19" t="s">
        <v>446</v>
      </c>
      <c r="C27" s="20" t="s">
        <v>447</v>
      </c>
      <c r="D27" s="20" t="s">
        <v>220</v>
      </c>
      <c r="E27" s="20" t="s">
        <v>448</v>
      </c>
      <c r="F27" s="19" t="s">
        <v>64</v>
      </c>
      <c r="G27" s="19" t="s">
        <v>83</v>
      </c>
      <c r="H27" s="20" t="s">
        <v>449</v>
      </c>
      <c r="I27" s="20" t="s">
        <v>450</v>
      </c>
      <c r="J27" s="20" t="s">
        <v>451</v>
      </c>
      <c r="K27" s="20" t="s">
        <v>451</v>
      </c>
      <c r="L27" s="19">
        <v>1</v>
      </c>
      <c r="M27" s="19" t="s">
        <v>22</v>
      </c>
      <c r="N27" s="19" t="s">
        <v>414</v>
      </c>
      <c r="O27" s="19" t="s">
        <v>93</v>
      </c>
      <c r="P27" s="20" t="s">
        <v>73</v>
      </c>
      <c r="Q27" s="21">
        <v>45789</v>
      </c>
    </row>
    <row r="28" spans="1:17" ht="18" customHeight="1" x14ac:dyDescent="0.3">
      <c r="A28" s="19" t="s">
        <v>452</v>
      </c>
      <c r="B28" s="19" t="s">
        <v>453</v>
      </c>
      <c r="C28" s="20" t="s">
        <v>454</v>
      </c>
      <c r="D28" s="20" t="s">
        <v>220</v>
      </c>
      <c r="E28" s="20" t="s">
        <v>455</v>
      </c>
      <c r="F28" s="19" t="s">
        <v>64</v>
      </c>
      <c r="G28" s="19" t="s">
        <v>83</v>
      </c>
      <c r="H28" s="20" t="s">
        <v>449</v>
      </c>
      <c r="I28" s="20" t="s">
        <v>456</v>
      </c>
      <c r="J28" s="20" t="s">
        <v>457</v>
      </c>
      <c r="K28" s="20" t="s">
        <v>457</v>
      </c>
      <c r="L28" s="19">
        <v>1</v>
      </c>
      <c r="M28" s="19" t="s">
        <v>22</v>
      </c>
      <c r="N28" s="19" t="s">
        <v>414</v>
      </c>
      <c r="O28" s="19" t="s">
        <v>93</v>
      </c>
      <c r="P28" s="20" t="s">
        <v>73</v>
      </c>
      <c r="Q28" s="21">
        <v>45789</v>
      </c>
    </row>
    <row r="29" spans="1:17" ht="30" customHeight="1" x14ac:dyDescent="0.3">
      <c r="A29" s="19" t="s">
        <v>458</v>
      </c>
      <c r="B29" s="19" t="s">
        <v>459</v>
      </c>
      <c r="C29" s="20" t="s">
        <v>460</v>
      </c>
      <c r="D29" s="20" t="s">
        <v>227</v>
      </c>
      <c r="E29" s="20" t="s">
        <v>461</v>
      </c>
      <c r="F29" s="19" t="s">
        <v>64</v>
      </c>
      <c r="G29" s="19" t="s">
        <v>65</v>
      </c>
      <c r="H29" s="20" t="s">
        <v>462</v>
      </c>
      <c r="I29" s="20" t="s">
        <v>463</v>
      </c>
      <c r="J29" s="20" t="s">
        <v>464</v>
      </c>
      <c r="K29" s="20" t="s">
        <v>464</v>
      </c>
      <c r="L29" s="19">
        <v>1</v>
      </c>
      <c r="M29" s="19" t="s">
        <v>22</v>
      </c>
      <c r="N29" s="19" t="s">
        <v>414</v>
      </c>
      <c r="O29" s="19" t="s">
        <v>465</v>
      </c>
      <c r="P29" s="20" t="s">
        <v>73</v>
      </c>
      <c r="Q29" s="21">
        <v>45789</v>
      </c>
    </row>
    <row r="30" spans="1:17" ht="30" customHeight="1" x14ac:dyDescent="0.3">
      <c r="A30" s="19" t="s">
        <v>466</v>
      </c>
      <c r="B30" s="19" t="s">
        <v>459</v>
      </c>
      <c r="C30" s="20" t="s">
        <v>460</v>
      </c>
      <c r="D30" s="20" t="s">
        <v>227</v>
      </c>
      <c r="E30" s="20" t="s">
        <v>467</v>
      </c>
      <c r="F30" s="19" t="s">
        <v>64</v>
      </c>
      <c r="G30" s="19" t="s">
        <v>65</v>
      </c>
      <c r="H30" s="20" t="s">
        <v>462</v>
      </c>
      <c r="I30" s="20" t="s">
        <v>468</v>
      </c>
      <c r="J30" s="20" t="s">
        <v>469</v>
      </c>
      <c r="K30" s="20" t="s">
        <v>469</v>
      </c>
      <c r="L30" s="19">
        <v>1</v>
      </c>
      <c r="M30" s="19" t="s">
        <v>22</v>
      </c>
      <c r="N30" s="19" t="s">
        <v>414</v>
      </c>
      <c r="O30" s="19" t="s">
        <v>470</v>
      </c>
      <c r="P30" s="20" t="s">
        <v>73</v>
      </c>
      <c r="Q30" s="21">
        <v>45789</v>
      </c>
    </row>
    <row r="31" spans="1:17" ht="18" customHeight="1" x14ac:dyDescent="0.3">
      <c r="A31" s="19" t="s">
        <v>471</v>
      </c>
      <c r="B31" s="19" t="s">
        <v>472</v>
      </c>
      <c r="C31" s="20" t="s">
        <v>473</v>
      </c>
      <c r="D31" s="20" t="s">
        <v>241</v>
      </c>
      <c r="E31" s="20" t="s">
        <v>474</v>
      </c>
      <c r="F31" s="19" t="s">
        <v>64</v>
      </c>
      <c r="G31" s="19" t="s">
        <v>83</v>
      </c>
      <c r="H31" s="20" t="s">
        <v>449</v>
      </c>
      <c r="I31" s="20" t="s">
        <v>475</v>
      </c>
      <c r="J31" s="20" t="s">
        <v>476</v>
      </c>
      <c r="K31" s="20" t="s">
        <v>476</v>
      </c>
      <c r="L31" s="19">
        <v>1</v>
      </c>
      <c r="M31" s="19" t="s">
        <v>22</v>
      </c>
      <c r="N31" s="19" t="s">
        <v>414</v>
      </c>
      <c r="O31" s="19" t="s">
        <v>93</v>
      </c>
      <c r="P31" s="20" t="s">
        <v>73</v>
      </c>
      <c r="Q31" s="21">
        <v>45789</v>
      </c>
    </row>
    <row r="32" spans="1:17" ht="18" customHeight="1" x14ac:dyDescent="0.3">
      <c r="A32" s="19" t="s">
        <v>477</v>
      </c>
      <c r="B32" s="19" t="s">
        <v>478</v>
      </c>
      <c r="C32" s="20" t="s">
        <v>479</v>
      </c>
      <c r="D32" s="20" t="s">
        <v>241</v>
      </c>
      <c r="E32" s="20" t="s">
        <v>480</v>
      </c>
      <c r="F32" s="19" t="s">
        <v>64</v>
      </c>
      <c r="G32" s="19" t="s">
        <v>293</v>
      </c>
      <c r="H32" s="20" t="s">
        <v>481</v>
      </c>
      <c r="I32" s="20" t="s">
        <v>482</v>
      </c>
      <c r="J32" s="20" t="s">
        <v>457</v>
      </c>
      <c r="K32" s="20" t="s">
        <v>457</v>
      </c>
      <c r="L32" s="19">
        <v>1</v>
      </c>
      <c r="M32" s="19" t="s">
        <v>22</v>
      </c>
      <c r="N32" s="19" t="s">
        <v>414</v>
      </c>
      <c r="O32" s="19" t="s">
        <v>93</v>
      </c>
      <c r="P32" s="20" t="s">
        <v>73</v>
      </c>
      <c r="Q32" s="21">
        <v>45789</v>
      </c>
    </row>
    <row r="33" spans="1:17" ht="18" customHeight="1" x14ac:dyDescent="0.3">
      <c r="A33" s="19" t="s">
        <v>483</v>
      </c>
      <c r="B33" s="19" t="s">
        <v>484</v>
      </c>
      <c r="C33" s="20" t="s">
        <v>485</v>
      </c>
      <c r="D33" s="20" t="s">
        <v>227</v>
      </c>
      <c r="E33" s="20" t="s">
        <v>486</v>
      </c>
      <c r="F33" s="19" t="s">
        <v>64</v>
      </c>
      <c r="G33" s="19" t="s">
        <v>83</v>
      </c>
      <c r="H33" s="20" t="s">
        <v>481</v>
      </c>
      <c r="I33" s="20" t="s">
        <v>487</v>
      </c>
      <c r="J33" s="20" t="s">
        <v>488</v>
      </c>
      <c r="K33" s="20" t="s">
        <v>488</v>
      </c>
      <c r="L33" s="19">
        <v>1</v>
      </c>
      <c r="M33" s="19" t="s">
        <v>22</v>
      </c>
      <c r="N33" s="19" t="s">
        <v>414</v>
      </c>
      <c r="O33" s="19" t="s">
        <v>93</v>
      </c>
      <c r="P33" s="20" t="s">
        <v>73</v>
      </c>
      <c r="Q33" s="21">
        <v>45789</v>
      </c>
    </row>
    <row r="35" spans="1:17" x14ac:dyDescent="0.3">
      <c r="A35" s="17"/>
    </row>
  </sheetData>
  <autoFilter ref="A4:Q33" xr:uid="{00000000-0009-0000-0000-000002000000}"/>
  <conditionalFormatting sqref="M5:M33">
    <cfRule type="cellIs" dxfId="11" priority="2" operator="equal">
      <formula>"Pass"</formula>
    </cfRule>
    <cfRule type="cellIs" dxfId="10" priority="3" operator="equal">
      <formula>"Fail"</formula>
    </cfRule>
    <cfRule type="cellIs" dxfId="9" priority="4" operator="equal">
      <formula>"Blocked"</formula>
    </cfRule>
    <cfRule type="cellIs" dxfId="8" priority="5" operator="equal">
      <formula>"Not Run"</formula>
    </cfRule>
  </conditionalFormatting>
  <dataValidations count="1">
    <dataValidation type="list" sqref="M5:M33" xr:uid="{00000000-0002-0000-0200-000000000000}">
      <formula1>"Pass,Fail,Blocked,Not Run"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23"/>
  <sheetViews>
    <sheetView zoomScaleNormal="100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B30" sqref="B30"/>
    </sheetView>
  </sheetViews>
  <sheetFormatPr defaultColWidth="8.6640625" defaultRowHeight="14.4" x14ac:dyDescent="0.3"/>
  <cols>
    <col min="1" max="1" width="9" customWidth="1"/>
    <col min="2" max="2" width="36" customWidth="1"/>
    <col min="3" max="3" width="24" customWidth="1"/>
    <col min="4" max="4" width="30" customWidth="1"/>
    <col min="5" max="5" width="10" customWidth="1"/>
    <col min="6" max="6" width="11" customWidth="1"/>
    <col min="7" max="8" width="9" customWidth="1"/>
    <col min="9" max="9" width="11" customWidth="1"/>
    <col min="10" max="10" width="9" customWidth="1"/>
    <col min="11" max="11" width="12" customWidth="1"/>
    <col min="12" max="12" width="11" customWidth="1"/>
    <col min="13" max="13" width="9" customWidth="1"/>
    <col min="14" max="14" width="10" customWidth="1"/>
    <col min="15" max="15" width="13" customWidth="1"/>
    <col min="16" max="16" width="9" customWidth="1"/>
  </cols>
  <sheetData>
    <row r="1" spans="1:16" ht="17.399999999999999" x14ac:dyDescent="0.3">
      <c r="A1" s="16" t="s">
        <v>489</v>
      </c>
    </row>
    <row r="2" spans="1:16" x14ac:dyDescent="0.3">
      <c r="A2" s="17"/>
    </row>
    <row r="3" spans="1:16" x14ac:dyDescent="0.3">
      <c r="A3" s="15" t="s">
        <v>490</v>
      </c>
      <c r="D3" s="22">
        <v>3000</v>
      </c>
      <c r="F3" s="15" t="s">
        <v>491</v>
      </c>
      <c r="H3" s="22">
        <v>1</v>
      </c>
      <c r="J3" s="17" t="s">
        <v>492</v>
      </c>
    </row>
    <row r="4" spans="1:16" ht="30" customHeight="1" x14ac:dyDescent="0.3">
      <c r="A4" s="18" t="s">
        <v>493</v>
      </c>
      <c r="B4" s="18" t="s">
        <v>494</v>
      </c>
      <c r="C4" s="18" t="s">
        <v>495</v>
      </c>
      <c r="D4" s="18" t="s">
        <v>496</v>
      </c>
      <c r="E4" s="18" t="s">
        <v>497</v>
      </c>
      <c r="F4" s="18" t="s">
        <v>498</v>
      </c>
      <c r="G4" s="18" t="s">
        <v>499</v>
      </c>
      <c r="H4" s="18" t="s">
        <v>500</v>
      </c>
      <c r="I4" s="18" t="s">
        <v>501</v>
      </c>
      <c r="J4" s="18" t="s">
        <v>502</v>
      </c>
      <c r="K4" s="18" t="s">
        <v>503</v>
      </c>
      <c r="L4" s="18" t="s">
        <v>504</v>
      </c>
      <c r="M4" s="18" t="s">
        <v>505</v>
      </c>
      <c r="N4" s="18" t="s">
        <v>506</v>
      </c>
      <c r="O4" s="18" t="s">
        <v>507</v>
      </c>
      <c r="P4" s="18" t="s">
        <v>310</v>
      </c>
    </row>
    <row r="5" spans="1:16" ht="18" customHeight="1" x14ac:dyDescent="0.3">
      <c r="A5" s="19" t="s">
        <v>508</v>
      </c>
      <c r="B5" s="20" t="s">
        <v>509</v>
      </c>
      <c r="C5" s="20" t="s">
        <v>510</v>
      </c>
      <c r="D5" s="20" t="s">
        <v>511</v>
      </c>
      <c r="E5" s="23">
        <v>250</v>
      </c>
      <c r="F5" s="23">
        <v>6826</v>
      </c>
      <c r="G5" s="23">
        <v>3363</v>
      </c>
      <c r="H5" s="23">
        <v>8834</v>
      </c>
      <c r="I5" s="23">
        <v>792</v>
      </c>
      <c r="J5" s="24">
        <v>0</v>
      </c>
      <c r="K5" s="25">
        <v>0.6</v>
      </c>
      <c r="L5" s="25">
        <v>12.11</v>
      </c>
      <c r="M5" s="25">
        <v>0.13</v>
      </c>
      <c r="N5" s="23">
        <v>20725</v>
      </c>
      <c r="O5" s="26">
        <f t="shared" ref="O5:O19" si="0">F5-$D$3</f>
        <v>3826</v>
      </c>
      <c r="P5" s="19" t="str">
        <f t="shared" ref="P5:P18" si="1">IF(AND(F5&lt;=$D$3,J5*100&lt;=$H$3),"Pass","Fail")</f>
        <v>Fail</v>
      </c>
    </row>
    <row r="6" spans="1:16" ht="18" customHeight="1" x14ac:dyDescent="0.3">
      <c r="A6" s="19" t="s">
        <v>512</v>
      </c>
      <c r="B6" s="20" t="s">
        <v>513</v>
      </c>
      <c r="C6" s="20" t="s">
        <v>514</v>
      </c>
      <c r="D6" s="20" t="s">
        <v>515</v>
      </c>
      <c r="E6" s="23">
        <v>250</v>
      </c>
      <c r="F6" s="23">
        <v>6964</v>
      </c>
      <c r="G6" s="23">
        <v>6211</v>
      </c>
      <c r="H6" s="23">
        <v>7801</v>
      </c>
      <c r="I6" s="23">
        <v>398</v>
      </c>
      <c r="J6" s="24">
        <v>0</v>
      </c>
      <c r="K6" s="25">
        <v>0.59</v>
      </c>
      <c r="L6" s="25">
        <v>11.98</v>
      </c>
      <c r="M6" s="25">
        <v>7.0000000000000007E-2</v>
      </c>
      <c r="N6" s="23">
        <v>20682</v>
      </c>
      <c r="O6" s="26">
        <f t="shared" si="0"/>
        <v>3964</v>
      </c>
      <c r="P6" s="19" t="str">
        <f t="shared" si="1"/>
        <v>Fail</v>
      </c>
    </row>
    <row r="7" spans="1:16" ht="18" customHeight="1" x14ac:dyDescent="0.3">
      <c r="A7" s="19" t="s">
        <v>516</v>
      </c>
      <c r="B7" s="20" t="s">
        <v>517</v>
      </c>
      <c r="C7" s="20" t="s">
        <v>518</v>
      </c>
      <c r="D7" s="20" t="s">
        <v>515</v>
      </c>
      <c r="E7" s="23">
        <v>250</v>
      </c>
      <c r="F7" s="23">
        <v>7204</v>
      </c>
      <c r="G7" s="23">
        <v>5803</v>
      </c>
      <c r="H7" s="23">
        <v>9470</v>
      </c>
      <c r="I7" s="23">
        <v>730</v>
      </c>
      <c r="J7" s="24">
        <v>0</v>
      </c>
      <c r="K7" s="25">
        <v>0.59</v>
      </c>
      <c r="L7" s="25">
        <v>14.44</v>
      </c>
      <c r="M7" s="25">
        <v>0.09</v>
      </c>
      <c r="N7" s="23">
        <v>24892</v>
      </c>
      <c r="O7" s="26">
        <f t="shared" si="0"/>
        <v>4204</v>
      </c>
      <c r="P7" s="19" t="str">
        <f t="shared" si="1"/>
        <v>Fail</v>
      </c>
    </row>
    <row r="8" spans="1:16" ht="18" customHeight="1" x14ac:dyDescent="0.3">
      <c r="A8" s="19" t="s">
        <v>519</v>
      </c>
      <c r="B8" s="20" t="s">
        <v>520</v>
      </c>
      <c r="C8" s="20" t="s">
        <v>521</v>
      </c>
      <c r="D8" s="20" t="s">
        <v>515</v>
      </c>
      <c r="E8" s="23">
        <v>250</v>
      </c>
      <c r="F8" s="23">
        <v>7671</v>
      </c>
      <c r="G8" s="23">
        <v>6594</v>
      </c>
      <c r="H8" s="23">
        <v>9751</v>
      </c>
      <c r="I8" s="23">
        <v>933</v>
      </c>
      <c r="J8" s="24">
        <v>0</v>
      </c>
      <c r="K8" s="25">
        <v>0.59</v>
      </c>
      <c r="L8" s="25">
        <v>14.42</v>
      </c>
      <c r="M8" s="25">
        <v>0.08</v>
      </c>
      <c r="N8" s="23">
        <v>24852</v>
      </c>
      <c r="O8" s="26">
        <f t="shared" si="0"/>
        <v>4671</v>
      </c>
      <c r="P8" s="19" t="str">
        <f t="shared" si="1"/>
        <v>Fail</v>
      </c>
    </row>
    <row r="9" spans="1:16" ht="18" customHeight="1" x14ac:dyDescent="0.3">
      <c r="A9" s="19" t="s">
        <v>522</v>
      </c>
      <c r="B9" s="20" t="s">
        <v>523</v>
      </c>
      <c r="C9" s="20" t="s">
        <v>524</v>
      </c>
      <c r="D9" s="20" t="s">
        <v>515</v>
      </c>
      <c r="E9" s="23">
        <v>250</v>
      </c>
      <c r="F9" s="23">
        <v>7485</v>
      </c>
      <c r="G9" s="23">
        <v>6678</v>
      </c>
      <c r="H9" s="23">
        <v>9236</v>
      </c>
      <c r="I9" s="23">
        <v>745</v>
      </c>
      <c r="J9" s="24">
        <v>0</v>
      </c>
      <c r="K9" s="25">
        <v>0.6</v>
      </c>
      <c r="L9" s="25">
        <v>14.5</v>
      </c>
      <c r="M9" s="25">
        <v>0.08</v>
      </c>
      <c r="N9" s="23">
        <v>24852</v>
      </c>
      <c r="O9" s="26">
        <f t="shared" si="0"/>
        <v>4485</v>
      </c>
      <c r="P9" s="19" t="str">
        <f t="shared" si="1"/>
        <v>Fail</v>
      </c>
    </row>
    <row r="10" spans="1:16" ht="18" customHeight="1" x14ac:dyDescent="0.3">
      <c r="A10" s="19" t="s">
        <v>525</v>
      </c>
      <c r="B10" s="20" t="s">
        <v>526</v>
      </c>
      <c r="C10" s="20" t="s">
        <v>527</v>
      </c>
      <c r="D10" s="20" t="s">
        <v>515</v>
      </c>
      <c r="E10" s="23">
        <v>250</v>
      </c>
      <c r="F10" s="23">
        <v>7299</v>
      </c>
      <c r="G10" s="23">
        <v>6652</v>
      </c>
      <c r="H10" s="23">
        <v>8290</v>
      </c>
      <c r="I10" s="23">
        <v>332</v>
      </c>
      <c r="J10" s="24">
        <v>0</v>
      </c>
      <c r="K10" s="25">
        <v>0.6</v>
      </c>
      <c r="L10" s="25">
        <v>14.52</v>
      </c>
      <c r="M10" s="25">
        <v>0.08</v>
      </c>
      <c r="N10" s="23">
        <v>24820</v>
      </c>
      <c r="O10" s="26">
        <f t="shared" si="0"/>
        <v>4299</v>
      </c>
      <c r="P10" s="19" t="str">
        <f t="shared" si="1"/>
        <v>Fail</v>
      </c>
    </row>
    <row r="11" spans="1:16" ht="18" customHeight="1" x14ac:dyDescent="0.3">
      <c r="A11" s="19" t="s">
        <v>528</v>
      </c>
      <c r="B11" s="20" t="s">
        <v>529</v>
      </c>
      <c r="C11" s="20" t="s">
        <v>530</v>
      </c>
      <c r="D11" s="20" t="s">
        <v>515</v>
      </c>
      <c r="E11" s="23">
        <v>250</v>
      </c>
      <c r="F11" s="23">
        <v>7132</v>
      </c>
      <c r="G11" s="23">
        <v>6138</v>
      </c>
      <c r="H11" s="23">
        <v>7914</v>
      </c>
      <c r="I11" s="23">
        <v>330</v>
      </c>
      <c r="J11" s="24">
        <v>0</v>
      </c>
      <c r="K11" s="25">
        <v>0.6</v>
      </c>
      <c r="L11" s="25">
        <v>14.58</v>
      </c>
      <c r="M11" s="25">
        <v>0.09</v>
      </c>
      <c r="N11" s="23">
        <v>24892</v>
      </c>
      <c r="O11" s="26">
        <f t="shared" si="0"/>
        <v>4132</v>
      </c>
      <c r="P11" s="19" t="str">
        <f t="shared" si="1"/>
        <v>Fail</v>
      </c>
    </row>
    <row r="12" spans="1:16" ht="18" customHeight="1" x14ac:dyDescent="0.3">
      <c r="A12" s="19" t="s">
        <v>531</v>
      </c>
      <c r="B12" s="20" t="s">
        <v>532</v>
      </c>
      <c r="C12" s="20" t="s">
        <v>533</v>
      </c>
      <c r="D12" s="20" t="s">
        <v>515</v>
      </c>
      <c r="E12" s="23">
        <v>250</v>
      </c>
      <c r="F12" s="23">
        <v>7123</v>
      </c>
      <c r="G12" s="23">
        <v>6235</v>
      </c>
      <c r="H12" s="23">
        <v>8302</v>
      </c>
      <c r="I12" s="23">
        <v>363</v>
      </c>
      <c r="J12" s="24">
        <v>0</v>
      </c>
      <c r="K12" s="25">
        <v>0.6</v>
      </c>
      <c r="L12" s="25">
        <v>13.46</v>
      </c>
      <c r="M12" s="25">
        <v>0.08</v>
      </c>
      <c r="N12" s="23">
        <v>22957</v>
      </c>
      <c r="O12" s="26">
        <f t="shared" si="0"/>
        <v>4123</v>
      </c>
      <c r="P12" s="19" t="str">
        <f t="shared" si="1"/>
        <v>Fail</v>
      </c>
    </row>
    <row r="13" spans="1:16" ht="18" customHeight="1" x14ac:dyDescent="0.3">
      <c r="A13" s="19" t="s">
        <v>534</v>
      </c>
      <c r="B13" s="20" t="s">
        <v>535</v>
      </c>
      <c r="C13" s="20" t="s">
        <v>536</v>
      </c>
      <c r="D13" s="20" t="s">
        <v>515</v>
      </c>
      <c r="E13" s="23">
        <v>250</v>
      </c>
      <c r="F13" s="23">
        <v>7100</v>
      </c>
      <c r="G13" s="23">
        <v>6475</v>
      </c>
      <c r="H13" s="23">
        <v>8693</v>
      </c>
      <c r="I13" s="23">
        <v>606</v>
      </c>
      <c r="J13" s="24">
        <v>0</v>
      </c>
      <c r="K13" s="25">
        <v>0.6</v>
      </c>
      <c r="L13" s="25">
        <v>13.11</v>
      </c>
      <c r="M13" s="25">
        <v>0.09</v>
      </c>
      <c r="N13" s="23">
        <v>22309</v>
      </c>
      <c r="O13" s="26">
        <f t="shared" si="0"/>
        <v>4100</v>
      </c>
      <c r="P13" s="19" t="str">
        <f t="shared" si="1"/>
        <v>Fail</v>
      </c>
    </row>
    <row r="14" spans="1:16" ht="18" customHeight="1" x14ac:dyDescent="0.3">
      <c r="A14" s="19" t="s">
        <v>537</v>
      </c>
      <c r="B14" s="20" t="s">
        <v>538</v>
      </c>
      <c r="C14" s="20" t="s">
        <v>539</v>
      </c>
      <c r="D14" s="20" t="s">
        <v>515</v>
      </c>
      <c r="E14" s="23">
        <v>250</v>
      </c>
      <c r="F14" s="23">
        <v>7258</v>
      </c>
      <c r="G14" s="23">
        <v>6303</v>
      </c>
      <c r="H14" s="23">
        <v>8632</v>
      </c>
      <c r="I14" s="23">
        <v>674</v>
      </c>
      <c r="J14" s="24">
        <v>0</v>
      </c>
      <c r="K14" s="25">
        <v>0.6</v>
      </c>
      <c r="L14" s="25">
        <v>13.14</v>
      </c>
      <c r="M14" s="25">
        <v>0.08</v>
      </c>
      <c r="N14" s="23">
        <v>22285</v>
      </c>
      <c r="O14" s="26">
        <f t="shared" si="0"/>
        <v>4258</v>
      </c>
      <c r="P14" s="19" t="str">
        <f t="shared" si="1"/>
        <v>Fail</v>
      </c>
    </row>
    <row r="15" spans="1:16" ht="18" customHeight="1" x14ac:dyDescent="0.3">
      <c r="A15" s="19" t="s">
        <v>540</v>
      </c>
      <c r="B15" s="20" t="s">
        <v>541</v>
      </c>
      <c r="C15" s="20" t="s">
        <v>542</v>
      </c>
      <c r="D15" s="20" t="s">
        <v>515</v>
      </c>
      <c r="E15" s="23">
        <v>250</v>
      </c>
      <c r="F15" s="23">
        <v>7417</v>
      </c>
      <c r="G15" s="23">
        <v>6585</v>
      </c>
      <c r="H15" s="23">
        <v>8671</v>
      </c>
      <c r="I15" s="23">
        <v>578</v>
      </c>
      <c r="J15" s="24">
        <v>0</v>
      </c>
      <c r="K15" s="25">
        <v>0.6</v>
      </c>
      <c r="L15" s="25">
        <v>13.12</v>
      </c>
      <c r="M15" s="25">
        <v>0.08</v>
      </c>
      <c r="N15" s="23">
        <v>22277</v>
      </c>
      <c r="O15" s="26">
        <f t="shared" si="0"/>
        <v>4417</v>
      </c>
      <c r="P15" s="19" t="str">
        <f t="shared" si="1"/>
        <v>Fail</v>
      </c>
    </row>
    <row r="16" spans="1:16" ht="18" customHeight="1" x14ac:dyDescent="0.3">
      <c r="A16" s="19" t="s">
        <v>543</v>
      </c>
      <c r="B16" s="20" t="s">
        <v>544</v>
      </c>
      <c r="C16" s="20" t="s">
        <v>545</v>
      </c>
      <c r="D16" s="20" t="s">
        <v>515</v>
      </c>
      <c r="E16" s="23">
        <v>250</v>
      </c>
      <c r="F16" s="23">
        <v>7507</v>
      </c>
      <c r="G16" s="23">
        <v>6314</v>
      </c>
      <c r="H16" s="23">
        <v>10095</v>
      </c>
      <c r="I16" s="23">
        <v>1029</v>
      </c>
      <c r="J16" s="24">
        <v>0</v>
      </c>
      <c r="K16" s="25">
        <v>0.61</v>
      </c>
      <c r="L16" s="25">
        <v>13.17</v>
      </c>
      <c r="M16" s="25">
        <v>0.08</v>
      </c>
      <c r="N16" s="23">
        <v>22277</v>
      </c>
      <c r="O16" s="26">
        <f t="shared" si="0"/>
        <v>4507</v>
      </c>
      <c r="P16" s="19" t="str">
        <f t="shared" si="1"/>
        <v>Fail</v>
      </c>
    </row>
    <row r="17" spans="1:16" ht="18" customHeight="1" x14ac:dyDescent="0.3">
      <c r="A17" s="19" t="s">
        <v>546</v>
      </c>
      <c r="B17" s="20" t="s">
        <v>547</v>
      </c>
      <c r="C17" s="20" t="s">
        <v>548</v>
      </c>
      <c r="D17" s="20" t="s">
        <v>515</v>
      </c>
      <c r="E17" s="23">
        <v>250</v>
      </c>
      <c r="F17" s="23">
        <v>6950</v>
      </c>
      <c r="G17" s="23">
        <v>6160</v>
      </c>
      <c r="H17" s="23">
        <v>8129</v>
      </c>
      <c r="I17" s="23">
        <v>497</v>
      </c>
      <c r="J17" s="24">
        <v>0</v>
      </c>
      <c r="K17" s="25">
        <v>0.61</v>
      </c>
      <c r="L17" s="25">
        <v>13.22</v>
      </c>
      <c r="M17" s="25">
        <v>0.08</v>
      </c>
      <c r="N17" s="23">
        <v>22269</v>
      </c>
      <c r="O17" s="26">
        <f t="shared" si="0"/>
        <v>3950</v>
      </c>
      <c r="P17" s="19" t="str">
        <f t="shared" si="1"/>
        <v>Fail</v>
      </c>
    </row>
    <row r="18" spans="1:16" ht="18" customHeight="1" x14ac:dyDescent="0.3">
      <c r="A18" s="19" t="s">
        <v>549</v>
      </c>
      <c r="B18" s="20" t="s">
        <v>550</v>
      </c>
      <c r="C18" s="20" t="s">
        <v>551</v>
      </c>
      <c r="D18" s="20" t="s">
        <v>515</v>
      </c>
      <c r="E18" s="23">
        <v>250</v>
      </c>
      <c r="F18" s="23">
        <v>6836</v>
      </c>
      <c r="G18" s="23">
        <v>5350</v>
      </c>
      <c r="H18" s="23">
        <v>7619</v>
      </c>
      <c r="I18" s="23">
        <v>373</v>
      </c>
      <c r="J18" s="24">
        <v>0</v>
      </c>
      <c r="K18" s="25">
        <v>0.61</v>
      </c>
      <c r="L18" s="25">
        <v>13.94</v>
      </c>
      <c r="M18" s="25">
        <v>0.09</v>
      </c>
      <c r="N18" s="23">
        <v>23335</v>
      </c>
      <c r="O18" s="26">
        <f t="shared" si="0"/>
        <v>3836</v>
      </c>
      <c r="P18" s="19" t="str">
        <f t="shared" si="1"/>
        <v>Fail</v>
      </c>
    </row>
    <row r="19" spans="1:16" x14ac:dyDescent="0.3">
      <c r="A19" s="1" t="s">
        <v>552</v>
      </c>
      <c r="B19" s="1"/>
      <c r="C19" s="1"/>
      <c r="D19" s="1"/>
      <c r="E19" s="28">
        <f>SUM(E5:E18)</f>
        <v>3500</v>
      </c>
      <c r="F19" s="28">
        <f>SUMPRODUCT(E5:E18,F5:F18)/E19</f>
        <v>7198</v>
      </c>
      <c r="G19" s="28">
        <f>MIN(G5:G18)</f>
        <v>3363</v>
      </c>
      <c r="H19" s="28">
        <f>MAX(H5:H18)</f>
        <v>10095</v>
      </c>
      <c r="I19" s="27"/>
      <c r="J19" s="29">
        <f>SUMPRODUCT(E5:E18,J5:J18)/E19</f>
        <v>0</v>
      </c>
      <c r="K19" s="30">
        <f>SUM(K5:K18)</f>
        <v>8.3999999999999986</v>
      </c>
      <c r="L19" s="27"/>
      <c r="M19" s="27"/>
      <c r="N19" s="27"/>
      <c r="O19" s="28">
        <f t="shared" si="0"/>
        <v>4198</v>
      </c>
      <c r="P19" s="27" t="str">
        <f>IF(COUNTIF(P5:P18,"Fail")=0,"Pass","Fail")</f>
        <v>Fail</v>
      </c>
    </row>
    <row r="21" spans="1:16" x14ac:dyDescent="0.3">
      <c r="A21" s="31" t="s">
        <v>553</v>
      </c>
    </row>
    <row r="22" spans="1:16" x14ac:dyDescent="0.3">
      <c r="A22" s="31" t="s">
        <v>554</v>
      </c>
    </row>
    <row r="23" spans="1:16" x14ac:dyDescent="0.3">
      <c r="A23" s="31" t="s">
        <v>555</v>
      </c>
    </row>
  </sheetData>
  <mergeCells count="1">
    <mergeCell ref="A19:D19"/>
  </mergeCells>
  <conditionalFormatting sqref="P5:P18">
    <cfRule type="cellIs" dxfId="7" priority="2" operator="equal">
      <formula>"Pass"</formula>
    </cfRule>
    <cfRule type="cellIs" dxfId="6" priority="3" operator="equal">
      <formula>"Fail"</formula>
    </cfRule>
    <cfRule type="cellIs" dxfId="5" priority="4" operator="equal">
      <formula>"Blocked"</formula>
    </cfRule>
    <cfRule type="cellIs" dxfId="4" priority="5" operator="equal">
      <formula>"Not Run"</formula>
    </cfRule>
  </conditionalFormatting>
  <conditionalFormatting sqref="P19">
    <cfRule type="cellIs" dxfId="3" priority="6" operator="equal">
      <formula>"Pass"</formula>
    </cfRule>
    <cfRule type="cellIs" dxfId="2" priority="7" operator="equal">
      <formula>"Fail"</formula>
    </cfRule>
    <cfRule type="cellIs" dxfId="1" priority="8" operator="equal">
      <formula>"Blocked"</formula>
    </cfRule>
    <cfRule type="cellIs" dxfId="0" priority="9" operator="equal">
      <formula>"Not Run"</formula>
    </cfRule>
  </conditionalFormatting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Cover</vt:lpstr>
      <vt:lpstr>Manual TC</vt:lpstr>
      <vt:lpstr>Automation TC</vt:lpstr>
      <vt:lpstr>NFT JMeter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2026-10-03T15:49:34Z</dcterms:created>
  <dcterms:modified xsi:type="dcterms:W3CDTF">2026-10-04T07:21:53Z</dcterms:modified>
  <dc:language>en-US</dc:language>
</cp:coreProperties>
</file>