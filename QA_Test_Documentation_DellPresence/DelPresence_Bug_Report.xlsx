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orto qa\QA_Test_DellPresence\"/>
    </mc:Choice>
  </mc:AlternateContent>
  <xr:revisionPtr revIDLastSave="0" documentId="8_{34F58E12-F7CA-4029-9442-6785273A0BF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ug Log" sheetId="1" r:id="rId1"/>
    <sheet name="Summary" sheetId="2" r:id="rId2"/>
    <sheet name="Legend" sheetId="4" r:id="rId3"/>
  </sheets>
  <definedNames>
    <definedName name="_xlnm._FilterDatabase" localSheetId="0" hidden="1">'Bug Log'!$A$4:$T$14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C26" i="2"/>
  <c r="C18" i="2"/>
  <c r="C17" i="2"/>
  <c r="C16" i="2"/>
  <c r="C15" i="2"/>
  <c r="C14" i="2"/>
  <c r="F9" i="2"/>
  <c r="E9" i="2"/>
  <c r="D9" i="2"/>
  <c r="C9" i="2"/>
  <c r="F8" i="2"/>
  <c r="E8" i="2"/>
  <c r="D8" i="2"/>
  <c r="C8" i="2"/>
  <c r="F7" i="2"/>
  <c r="F10" i="2" s="1"/>
  <c r="C23" i="2" s="1"/>
  <c r="E7" i="2"/>
  <c r="D7" i="2"/>
  <c r="C7" i="2"/>
  <c r="F6" i="2"/>
  <c r="E6" i="2"/>
  <c r="D6" i="2"/>
  <c r="C6" i="2"/>
  <c r="G8" i="2" l="1"/>
  <c r="C25" i="2"/>
  <c r="E10" i="2"/>
  <c r="D10" i="2"/>
  <c r="G7" i="2"/>
  <c r="G9" i="2"/>
  <c r="G6" i="2"/>
  <c r="C10" i="2"/>
  <c r="G10" i="2" l="1"/>
  <c r="D17" i="2"/>
  <c r="C24" i="2"/>
  <c r="D16" i="2"/>
  <c r="C22" i="2"/>
  <c r="D15" i="2"/>
  <c r="C21" i="2"/>
  <c r="D18" i="2"/>
  <c r="D14" i="2"/>
</calcChain>
</file>

<file path=xl/sharedStrings.xml><?xml version="1.0" encoding="utf-8"?>
<sst xmlns="http://schemas.openxmlformats.org/spreadsheetml/2006/main" count="245" uniqueCount="164">
  <si>
    <t>BUG REPORT – DELPRESENCE</t>
  </si>
  <si>
    <t>Bug ID</t>
  </si>
  <si>
    <t>Title</t>
  </si>
  <si>
    <t>Module</t>
  </si>
  <si>
    <t>Platform</t>
  </si>
  <si>
    <t>Type</t>
  </si>
  <si>
    <t>Severity</t>
  </si>
  <si>
    <t>Priority</t>
  </si>
  <si>
    <t>Status</t>
  </si>
  <si>
    <t>Environment</t>
  </si>
  <si>
    <t>Pre-condition</t>
  </si>
  <si>
    <t>Steps to Reproduce</t>
  </si>
  <si>
    <t>Expected Result</t>
  </si>
  <si>
    <t>Actual Result</t>
  </si>
  <si>
    <t>Evidence File</t>
  </si>
  <si>
    <t>Related TC</t>
  </si>
  <si>
    <t>Reported By</t>
  </si>
  <si>
    <t>Reported Date</t>
  </si>
  <si>
    <t>Assigned To</t>
  </si>
  <si>
    <t>Fix / Retest Date</t>
  </si>
  <si>
    <t>Notes</t>
  </si>
  <si>
    <t>BUG-001</t>
  </si>
  <si>
    <t>Tombol Enter pada field Password tidak men-submit form login</t>
  </si>
  <si>
    <t>Autentikasi</t>
  </si>
  <si>
    <t>Web</t>
  </si>
  <si>
    <t>Functional</t>
  </si>
  <si>
    <t>Medium</t>
  </si>
  <si>
    <t>P3</t>
  </si>
  <si>
    <t>Closed</t>
  </si>
  <si>
    <t>Chrome · localhost:3000 / API :8080</t>
  </si>
  <si>
    <t>Berada di halaman /login</t>
  </si>
  <si>
    <t>1. Buka /login
2. Isi Username dan Password valid
3. Tekan Enter pada keyboard</t>
  </si>
  <si>
    <t>Form ter-submit dan user diarahkan ke Dashboard</t>
  </si>
  <si>
    <t>Tidak terjadi apa-apa; user harus mengklik tombol Login</t>
  </si>
  <si>
    <t>BUG-001_enter-login.png</t>
  </si>
  <si>
    <t>MTC-AUTH-003</t>
  </si>
  <si>
    <t>Marshanda Simangunsong</t>
  </si>
  <si>
    <t>Frontend Dev</t>
  </si>
  <si>
    <t>Retest 20 Mei 2025: Pass.</t>
  </si>
  <si>
    <t>BUG-002</t>
  </si>
  <si>
    <t>Menghapus fakultas yang masih memiliki Program Studi menampilkan pesan teknis server</t>
  </si>
  <si>
    <t>Data Fakultas</t>
  </si>
  <si>
    <t>P2</t>
  </si>
  <si>
    <t>Fakultas memiliki minimal 1 Program Studi</t>
  </si>
  <si>
    <t>1. Buka menu Fakultas
2. Klik aksi &gt; Hapus pada fakultas yang memiliki Program Studi
3. Konfirmasi hapus</t>
  </si>
  <si>
    <t>Penghapusan ditolak dengan pesan yang mudah dipahami (mis. 'Fakultas masih memiliki Program Studi')</t>
  </si>
  <si>
    <t>Muncul toast 'Internal Server Error' (HTTP 500) tanpa penjelasan</t>
  </si>
  <si>
    <t>BUG-002_hapus-fakultas.png</t>
  </si>
  <si>
    <t>MTC-FAC-005</t>
  </si>
  <si>
    <t>Backend Dev</t>
  </si>
  <si>
    <t>Retest 21 Mei 2025: Pass, pesan sudah informatif.</t>
  </si>
  <si>
    <t>BUG-003</t>
  </si>
  <si>
    <t>Jumlah Lantai gedung menerima nilai negatif</t>
  </si>
  <si>
    <t>Data Gedung</t>
  </si>
  <si>
    <t>Validation</t>
  </si>
  <si>
    <t>Fixed</t>
  </si>
  <si>
    <t>Admin login</t>
  </si>
  <si>
    <t>1. Buka menu Gedung &gt; Tambah Gedung
2. Isi Jumlah Lantai = -3
3. Klik Simpan</t>
  </si>
  <si>
    <t>Input ditolak dengan pesan validasi (nilai minimal 1)</t>
  </si>
  <si>
    <t>Gedung tersimpan dengan Jumlah Lantai -3</t>
  </si>
  <si>
    <t>BUG-003_lantai-negatif.png</t>
  </si>
  <si>
    <t>MTC-BLD-002</t>
  </si>
  <si>
    <t>Perbaikan sudah di-deploy; menunggu retest.</t>
  </si>
  <si>
    <t>BUG-004</t>
  </si>
  <si>
    <t>Kapasitas ruangan menerima nilai negatif</t>
  </si>
  <si>
    <t>Data Ruangan</t>
  </si>
  <si>
    <t>Open</t>
  </si>
  <si>
    <t>1. Buka menu Ruangan &gt; Tambah Ruangan
2. Isi Kapasitas = -10
3. Klik Simpan</t>
  </si>
  <si>
    <t>Input ditolak dengan pesan validasi</t>
  </si>
  <si>
    <t>Ruangan tersimpan dengan kapasitas -10</t>
  </si>
  <si>
    <t>BUG-004_kapasitas-negatif.png</t>
  </si>
  <si>
    <t>MTC-RMS-002</t>
  </si>
  <si>
    <t>-</t>
  </si>
  <si>
    <t>Kemungkinan akar masalah sama dengan BUG-003 (tidak ada validasi min di sisi server).</t>
  </si>
  <si>
    <t>BUG-005</t>
  </si>
  <si>
    <t>Tanggal Selesai tahun akademik dapat lebih awal dari Tanggal Mulai</t>
  </si>
  <si>
    <t>Tahun Akademik</t>
  </si>
  <si>
    <t>High</t>
  </si>
  <si>
    <t>1. Buka menu Tahun Akademik &gt; Tambah
2. Tanggal Mulai 01-08-2025, Tanggal Selesai 01-07-2025
3. Klik Simpan</t>
  </si>
  <si>
    <t>Input ditolak dengan pesan 'Tanggal selesai harus setelah tanggal mulai'</t>
  </si>
  <si>
    <t>Data tersimpan; berpotensi merusak penentuan semester aktif</t>
  </si>
  <si>
    <t>BUG-005_tanggal-akademik.png</t>
  </si>
  <si>
    <t>MTC-ACY-002</t>
  </si>
  <si>
    <t>BUG-006</t>
  </si>
  <si>
    <t>Performance</t>
  </si>
  <si>
    <t>P1</t>
  </si>
  <si>
    <t>BUG-007</t>
  </si>
  <si>
    <t>Klik ganda tombol 'Mulai Sesi' membuat dua sesi presensi aktif</t>
  </si>
  <si>
    <t>Presensi</t>
  </si>
  <si>
    <t>In Progress</t>
  </si>
  <si>
    <t>Dosen login; ada kelas aktif</t>
  </si>
  <si>
    <t>1. Kelola Presensi &gt; Mulai Presensi
2. Pilih QR Code
3. Klik Mulai Sesi dua kali dengan cepat</t>
  </si>
  <si>
    <t>Hanya satu sesi aktif terbentuk</t>
  </si>
  <si>
    <t>Dua sesi aktif terbentuk untuk kelas yang sama (request POST ganda)</t>
  </si>
  <si>
    <t>BUG-007_double-session.png</t>
  </si>
  <si>
    <t>MTC-LEC-003</t>
  </si>
  <si>
    <t>Usulan: disable tombol saat request berjalan + idempotency di backend.</t>
  </si>
  <si>
    <t>BUG-008</t>
  </si>
  <si>
    <t>QR dari sesi presensi yang sudah ditutup masih dapat dipakai untuk absen</t>
  </si>
  <si>
    <t>Mobile</t>
  </si>
  <si>
    <t>Security</t>
  </si>
  <si>
    <t>Android (perangkat uji) · Mobile App</t>
  </si>
  <si>
    <t>Sesi presensi telah ditutup dosen; mahasiswa memiliki tangkapan QR lama</t>
  </si>
  <si>
    <t>1. Buka Absensi &gt; Scan QR
2. Pindai QR dari sesi yang sudah ditutup
3. Klik Kirim</t>
  </si>
  <si>
    <t>Absensi ditolak karena sesi sudah berakhir</t>
  </si>
  <si>
    <t>Muncul 'Absensi berhasil' dan kehadiran tercatat</t>
  </si>
  <si>
    <t>BUG-008_qr-expired.png</t>
  </si>
  <si>
    <t>MTC-MOB-004</t>
  </si>
  <si>
    <t>Risiko kecurangan presensi (titip absen).</t>
  </si>
  <si>
    <t>BUG-009</t>
  </si>
  <si>
    <t>Hitung mundur 5 detik pendaftaran wajah tidak ter-reset saat wajah hilang dari kamera</t>
  </si>
  <si>
    <t>Registrasi Wajah</t>
  </si>
  <si>
    <t>Low</t>
  </si>
  <si>
    <t>P4</t>
  </si>
  <si>
    <t>Mahasiswa login; izin kamera aktif</t>
  </si>
  <si>
    <t>1. Pengaturan &gt; Daftarkan Wajah &gt; Lanjutkan
2. Tampilkan wajah 2 detik lalu palingkan wajah
3. Amati hitung mundur</t>
  </si>
  <si>
    <t>Hitung mundur berhenti/reset saat wajah tidak terdeteksi</t>
  </si>
  <si>
    <t>Hitung mundur tetap berjalan dan pendaftaran dianggap selesai</t>
  </si>
  <si>
    <t>BUG-009_face-countdown.png</t>
  </si>
  <si>
    <t>MTC-MOB-002</t>
  </si>
  <si>
    <t>Mobile Dev</t>
  </si>
  <si>
    <t>Berpotensi menghasilkan data wajah berkualitas rendah.</t>
  </si>
  <si>
    <t>Label tombol pada form edit tidak konsisten ('Perbarui' vs 'Simpan')</t>
  </si>
  <si>
    <t>Antarmuka</t>
  </si>
  <si>
    <t>UI</t>
  </si>
  <si>
    <t>1. Buka form Edit pada Fakultas
2. Buka form Edit pada Ruangan
3. Bandingkan label tombol aksi</t>
  </si>
  <si>
    <t>Label tombol konsisten di seluruh form edit</t>
  </si>
  <si>
    <t>Fakultas memakai 'Perbarui', Ruangan memakai 'Simpan'</t>
  </si>
  <si>
    <t>BUG-010_label-tombol.png</t>
  </si>
  <si>
    <t>MTC-FAC-003</t>
  </si>
  <si>
    <t>Retest 19 Mei 2025: Pass.</t>
  </si>
  <si>
    <t>DEFECT SUMMARY</t>
  </si>
  <si>
    <t>Seluruh angka dihitung otomatis dari sheet 'Bug Log'.</t>
  </si>
  <si>
    <t>Severity \ Status</t>
  </si>
  <si>
    <t>Total</t>
  </si>
  <si>
    <t>Critical</t>
  </si>
  <si>
    <t>BY TYPE</t>
  </si>
  <si>
    <t>Count</t>
  </si>
  <si>
    <t>% of total</t>
  </si>
  <si>
    <t>KEY METRICS</t>
  </si>
  <si>
    <t>Total defects found</t>
  </si>
  <si>
    <t>Still open (Open + In Progress + Fixed awaiting retest)</t>
  </si>
  <si>
    <t>Fix rate</t>
  </si>
  <si>
    <t>Open High/Critical defects</t>
  </si>
  <si>
    <t>Platform: Web</t>
  </si>
  <si>
    <t>Platform: Mobile</t>
  </si>
  <si>
    <t>SEVERITY &amp; PRIORITY GUIDE</t>
  </si>
  <si>
    <t>Definisi</t>
  </si>
  <si>
    <t>Contoh</t>
  </si>
  <si>
    <t>Sistem crash / data hilang / fitur inti tidak dapat dipakai, tanpa workaround</t>
  </si>
  <si>
    <t>Login gagal untuk semua user</t>
  </si>
  <si>
    <t>Fitur utama berjalan salah atau risiko keamanan/integritas data</t>
  </si>
  <si>
    <t>QR kedaluwarsa tetap diterima; respons &gt; SLA</t>
  </si>
  <si>
    <t>Fitur berjalan dengan penyimpangan; ada workaround</t>
  </si>
  <si>
    <t>Validasi input tidak ada; double submit</t>
  </si>
  <si>
    <t>Kosmetik / UX minor, tidak mengganggu fungsi</t>
  </si>
  <si>
    <t>Label tombol tidak konsisten</t>
  </si>
  <si>
    <t xml:space="preserve"> </t>
  </si>
  <si>
    <t>Waktu penanganan yang disarankan</t>
  </si>
  <si>
    <t>Segera – blokir rilis</t>
  </si>
  <si>
    <t>Sebelum rilis</t>
  </si>
  <si>
    <t>Rilis berikutnya / bila waktu memungkinkan</t>
  </si>
  <si>
    <t>Backlog</t>
  </si>
  <si>
    <t>Status flow: Open → In Progress → Fixed → Closed (atau Rejected bila bukan defect).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</si>
</sst>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6" fillId="0" borderId="0" xfId="0" applyFont="1"/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9" fontId="5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1F3864"/>
        <name val="Arial"/>
        <charset val="1"/>
      </font>
      <fill>
        <patternFill>
          <bgColor rgb="FFDDEBF7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1F3864"/>
        <name val="Arial"/>
        <charset val="1"/>
      </font>
      <fill>
        <patternFill>
          <bgColor rgb="FFDDEBF7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5"/>
  <sheetViews>
    <sheetView tabSelected="1" zoomScaleNormal="100" workbookViewId="0">
      <pane xSplit="2" ySplit="4" topLeftCell="D6" activePane="bottomRight" state="frozen"/>
      <selection pane="topRight" activeCell="C1" sqref="C1"/>
      <selection pane="bottomLeft" activeCell="A5" sqref="A5"/>
      <selection pane="bottomRight" activeCell="H8" sqref="H8"/>
    </sheetView>
  </sheetViews>
  <sheetFormatPr defaultColWidth="8.6640625" defaultRowHeight="14.4" x14ac:dyDescent="0.3"/>
  <cols>
    <col min="1" max="1" width="10" customWidth="1"/>
    <col min="2" max="2" width="54.5546875" customWidth="1"/>
    <col min="3" max="3" width="16" customWidth="1"/>
    <col min="4" max="4" width="10" customWidth="1"/>
    <col min="5" max="5" width="12" customWidth="1"/>
    <col min="6" max="6" width="10" customWidth="1"/>
    <col min="7" max="7" width="9" customWidth="1"/>
    <col min="8" max="8" width="12" customWidth="1"/>
    <col min="9" max="9" width="22" customWidth="1"/>
    <col min="10" max="10" width="26" customWidth="1"/>
    <col min="11" max="11" width="44" customWidth="1"/>
    <col min="12" max="12" width="34" customWidth="1"/>
    <col min="13" max="13" width="38" customWidth="1"/>
    <col min="14" max="14" width="26" customWidth="1"/>
    <col min="15" max="15" width="16" customWidth="1"/>
    <col min="16" max="16" width="20" customWidth="1"/>
    <col min="17" max="17" width="13" customWidth="1"/>
    <col min="18" max="18" width="14" customWidth="1"/>
    <col min="19" max="19" width="13" customWidth="1"/>
    <col min="20" max="20" width="38" customWidth="1"/>
  </cols>
  <sheetData>
    <row r="1" spans="1:20" ht="17.399999999999999" x14ac:dyDescent="0.3">
      <c r="A1" s="1" t="s">
        <v>0</v>
      </c>
    </row>
    <row r="2" spans="1:20" x14ac:dyDescent="0.3">
      <c r="A2" s="2"/>
    </row>
    <row r="4" spans="1:20" ht="30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</row>
    <row r="5" spans="1:20" ht="42.75" customHeight="1" x14ac:dyDescent="0.3">
      <c r="A5" s="4" t="s">
        <v>21</v>
      </c>
      <c r="B5" s="5" t="s">
        <v>22</v>
      </c>
      <c r="C5" s="5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5" t="s">
        <v>29</v>
      </c>
      <c r="J5" s="5" t="s">
        <v>30</v>
      </c>
      <c r="K5" s="5" t="s">
        <v>31</v>
      </c>
      <c r="L5" s="5" t="s">
        <v>32</v>
      </c>
      <c r="M5" s="5" t="s">
        <v>33</v>
      </c>
      <c r="N5" s="5" t="s">
        <v>34</v>
      </c>
      <c r="O5" s="5" t="s">
        <v>35</v>
      </c>
      <c r="P5" s="5" t="s">
        <v>36</v>
      </c>
      <c r="Q5" s="6">
        <v>45782</v>
      </c>
      <c r="R5" s="5" t="s">
        <v>37</v>
      </c>
      <c r="S5" s="6">
        <v>45797</v>
      </c>
      <c r="T5" s="5" t="s">
        <v>38</v>
      </c>
    </row>
    <row r="6" spans="1:20" ht="55.5" customHeight="1" x14ac:dyDescent="0.3">
      <c r="A6" s="4" t="s">
        <v>39</v>
      </c>
      <c r="B6" s="5" t="s">
        <v>40</v>
      </c>
      <c r="C6" s="5" t="s">
        <v>41</v>
      </c>
      <c r="D6" s="4" t="s">
        <v>24</v>
      </c>
      <c r="E6" s="4" t="s">
        <v>25</v>
      </c>
      <c r="F6" s="4" t="s">
        <v>26</v>
      </c>
      <c r="G6" s="4" t="s">
        <v>42</v>
      </c>
      <c r="H6" s="4" t="s">
        <v>28</v>
      </c>
      <c r="I6" s="5" t="s">
        <v>29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36</v>
      </c>
      <c r="Q6" s="6">
        <v>45782</v>
      </c>
      <c r="R6" s="5" t="s">
        <v>49</v>
      </c>
      <c r="S6" s="6">
        <v>45798</v>
      </c>
      <c r="T6" s="5" t="s">
        <v>50</v>
      </c>
    </row>
    <row r="7" spans="1:20" ht="42.75" customHeight="1" x14ac:dyDescent="0.3">
      <c r="A7" s="4" t="s">
        <v>51</v>
      </c>
      <c r="B7" s="5" t="s">
        <v>52</v>
      </c>
      <c r="C7" s="5" t="s">
        <v>53</v>
      </c>
      <c r="D7" s="4" t="s">
        <v>24</v>
      </c>
      <c r="E7" s="4" t="s">
        <v>54</v>
      </c>
      <c r="F7" s="4" t="s">
        <v>26</v>
      </c>
      <c r="G7" s="4" t="s">
        <v>27</v>
      </c>
      <c r="H7" s="4" t="s">
        <v>55</v>
      </c>
      <c r="I7" s="5" t="s">
        <v>29</v>
      </c>
      <c r="J7" s="5" t="s">
        <v>56</v>
      </c>
      <c r="K7" s="5" t="s">
        <v>57</v>
      </c>
      <c r="L7" s="5" t="s">
        <v>58</v>
      </c>
      <c r="M7" s="5" t="s">
        <v>59</v>
      </c>
      <c r="N7" s="5" t="s">
        <v>60</v>
      </c>
      <c r="O7" s="5" t="s">
        <v>61</v>
      </c>
      <c r="P7" s="5" t="s">
        <v>36</v>
      </c>
      <c r="Q7" s="6">
        <v>45782</v>
      </c>
      <c r="R7" s="5" t="s">
        <v>37</v>
      </c>
      <c r="S7" s="6">
        <v>45799</v>
      </c>
      <c r="T7" s="5" t="s">
        <v>62</v>
      </c>
    </row>
    <row r="8" spans="1:20" ht="42.75" customHeight="1" x14ac:dyDescent="0.3">
      <c r="A8" s="4" t="s">
        <v>63</v>
      </c>
      <c r="B8" s="5" t="s">
        <v>64</v>
      </c>
      <c r="C8" s="5" t="s">
        <v>65</v>
      </c>
      <c r="D8" s="4" t="s">
        <v>24</v>
      </c>
      <c r="E8" s="4" t="s">
        <v>54</v>
      </c>
      <c r="F8" s="4" t="s">
        <v>26</v>
      </c>
      <c r="G8" s="4" t="s">
        <v>27</v>
      </c>
      <c r="H8" s="4" t="s">
        <v>66</v>
      </c>
      <c r="I8" s="5" t="s">
        <v>29</v>
      </c>
      <c r="J8" s="5" t="s">
        <v>56</v>
      </c>
      <c r="K8" s="5" t="s">
        <v>67</v>
      </c>
      <c r="L8" s="5" t="s">
        <v>68</v>
      </c>
      <c r="M8" s="5" t="s">
        <v>69</v>
      </c>
      <c r="N8" s="5" t="s">
        <v>70</v>
      </c>
      <c r="O8" s="5" t="s">
        <v>71</v>
      </c>
      <c r="P8" s="5" t="s">
        <v>36</v>
      </c>
      <c r="Q8" s="6">
        <v>45782</v>
      </c>
      <c r="R8" s="5" t="s">
        <v>37</v>
      </c>
      <c r="S8" s="4" t="s">
        <v>72</v>
      </c>
      <c r="T8" s="5" t="s">
        <v>73</v>
      </c>
    </row>
    <row r="9" spans="1:20" ht="55.5" customHeight="1" x14ac:dyDescent="0.3">
      <c r="A9" s="4" t="s">
        <v>74</v>
      </c>
      <c r="B9" s="5" t="s">
        <v>75</v>
      </c>
      <c r="C9" s="5" t="s">
        <v>76</v>
      </c>
      <c r="D9" s="4" t="s">
        <v>24</v>
      </c>
      <c r="E9" s="4" t="s">
        <v>54</v>
      </c>
      <c r="F9" s="4" t="s">
        <v>77</v>
      </c>
      <c r="G9" s="4" t="s">
        <v>42</v>
      </c>
      <c r="H9" s="4" t="s">
        <v>28</v>
      </c>
      <c r="I9" s="5" t="s">
        <v>29</v>
      </c>
      <c r="J9" s="5" t="s">
        <v>56</v>
      </c>
      <c r="K9" s="5" t="s">
        <v>78</v>
      </c>
      <c r="L9" s="5" t="s">
        <v>79</v>
      </c>
      <c r="M9" s="5" t="s">
        <v>80</v>
      </c>
      <c r="N9" s="5" t="s">
        <v>81</v>
      </c>
      <c r="O9" s="5" t="s">
        <v>82</v>
      </c>
      <c r="P9" s="5" t="s">
        <v>36</v>
      </c>
      <c r="Q9" s="6">
        <v>45782</v>
      </c>
      <c r="R9" s="5" t="s">
        <v>49</v>
      </c>
      <c r="S9" s="6">
        <v>45797</v>
      </c>
      <c r="T9" s="5" t="s">
        <v>38</v>
      </c>
    </row>
    <row r="10" spans="1:20" ht="42.75" customHeight="1" x14ac:dyDescent="0.3">
      <c r="A10" s="4" t="s">
        <v>83</v>
      </c>
      <c r="B10" s="5" t="s">
        <v>87</v>
      </c>
      <c r="C10" s="5" t="s">
        <v>88</v>
      </c>
      <c r="D10" s="4" t="s">
        <v>24</v>
      </c>
      <c r="E10" s="4" t="s">
        <v>25</v>
      </c>
      <c r="F10" s="4" t="s">
        <v>26</v>
      </c>
      <c r="G10" s="4" t="s">
        <v>42</v>
      </c>
      <c r="H10" s="4" t="s">
        <v>89</v>
      </c>
      <c r="I10" s="5" t="s">
        <v>29</v>
      </c>
      <c r="J10" s="5" t="s">
        <v>90</v>
      </c>
      <c r="K10" s="5" t="s">
        <v>91</v>
      </c>
      <c r="L10" s="5" t="s">
        <v>92</v>
      </c>
      <c r="M10" s="5" t="s">
        <v>93</v>
      </c>
      <c r="N10" s="5" t="s">
        <v>94</v>
      </c>
      <c r="O10" s="5" t="s">
        <v>95</v>
      </c>
      <c r="P10" s="5" t="s">
        <v>36</v>
      </c>
      <c r="Q10" s="6">
        <v>45782</v>
      </c>
      <c r="R10" s="5" t="s">
        <v>37</v>
      </c>
      <c r="S10" s="4" t="s">
        <v>72</v>
      </c>
      <c r="T10" s="5" t="s">
        <v>96</v>
      </c>
    </row>
    <row r="11" spans="1:20" ht="42.75" customHeight="1" x14ac:dyDescent="0.3">
      <c r="A11" s="4" t="s">
        <v>86</v>
      </c>
      <c r="B11" s="5" t="s">
        <v>98</v>
      </c>
      <c r="C11" s="5" t="s">
        <v>88</v>
      </c>
      <c r="D11" s="4" t="s">
        <v>99</v>
      </c>
      <c r="E11" s="4" t="s">
        <v>100</v>
      </c>
      <c r="F11" s="4" t="s">
        <v>77</v>
      </c>
      <c r="G11" s="4" t="s">
        <v>85</v>
      </c>
      <c r="H11" s="4" t="s">
        <v>66</v>
      </c>
      <c r="I11" s="5" t="s">
        <v>101</v>
      </c>
      <c r="J11" s="5" t="s">
        <v>102</v>
      </c>
      <c r="K11" s="5" t="s">
        <v>103</v>
      </c>
      <c r="L11" s="5" t="s">
        <v>104</v>
      </c>
      <c r="M11" s="5" t="s">
        <v>105</v>
      </c>
      <c r="N11" s="5" t="s">
        <v>106</v>
      </c>
      <c r="O11" s="5" t="s">
        <v>107</v>
      </c>
      <c r="P11" s="5" t="s">
        <v>36</v>
      </c>
      <c r="Q11" s="6">
        <v>45782</v>
      </c>
      <c r="R11" s="5" t="s">
        <v>49</v>
      </c>
      <c r="S11" s="4" t="s">
        <v>72</v>
      </c>
      <c r="T11" s="5" t="s">
        <v>108</v>
      </c>
    </row>
    <row r="12" spans="1:20" ht="42.75" customHeight="1" x14ac:dyDescent="0.3">
      <c r="A12" s="4" t="s">
        <v>97</v>
      </c>
      <c r="B12" s="5" t="s">
        <v>110</v>
      </c>
      <c r="C12" s="5" t="s">
        <v>111</v>
      </c>
      <c r="D12" s="4" t="s">
        <v>99</v>
      </c>
      <c r="E12" s="4" t="s">
        <v>25</v>
      </c>
      <c r="F12" s="4" t="s">
        <v>112</v>
      </c>
      <c r="G12" s="4" t="s">
        <v>113</v>
      </c>
      <c r="H12" s="4" t="s">
        <v>66</v>
      </c>
      <c r="I12" s="5" t="s">
        <v>101</v>
      </c>
      <c r="J12" s="5" t="s">
        <v>114</v>
      </c>
      <c r="K12" s="5" t="s">
        <v>115</v>
      </c>
      <c r="L12" s="5" t="s">
        <v>116</v>
      </c>
      <c r="M12" s="5" t="s">
        <v>117</v>
      </c>
      <c r="N12" s="5" t="s">
        <v>118</v>
      </c>
      <c r="O12" s="5" t="s">
        <v>119</v>
      </c>
      <c r="P12" s="5" t="s">
        <v>36</v>
      </c>
      <c r="Q12" s="6">
        <v>45782</v>
      </c>
      <c r="R12" s="5" t="s">
        <v>120</v>
      </c>
      <c r="S12" s="4" t="s">
        <v>72</v>
      </c>
      <c r="T12" s="5" t="s">
        <v>121</v>
      </c>
    </row>
    <row r="13" spans="1:20" ht="55.5" customHeight="1" x14ac:dyDescent="0.3">
      <c r="A13" s="4" t="s">
        <v>109</v>
      </c>
      <c r="B13" s="5" t="s">
        <v>122</v>
      </c>
      <c r="C13" s="5" t="s">
        <v>123</v>
      </c>
      <c r="D13" s="4" t="s">
        <v>24</v>
      </c>
      <c r="E13" s="4" t="s">
        <v>124</v>
      </c>
      <c r="F13" s="4" t="s">
        <v>112</v>
      </c>
      <c r="G13" s="4" t="s">
        <v>113</v>
      </c>
      <c r="H13" s="4" t="s">
        <v>28</v>
      </c>
      <c r="I13" s="5" t="s">
        <v>29</v>
      </c>
      <c r="J13" s="5" t="s">
        <v>56</v>
      </c>
      <c r="K13" s="5" t="s">
        <v>125</v>
      </c>
      <c r="L13" s="5" t="s">
        <v>126</v>
      </c>
      <c r="M13" s="5" t="s">
        <v>127</v>
      </c>
      <c r="N13" s="5" t="s">
        <v>128</v>
      </c>
      <c r="O13" s="5" t="s">
        <v>129</v>
      </c>
      <c r="P13" s="5" t="s">
        <v>36</v>
      </c>
      <c r="Q13" s="6">
        <v>45782</v>
      </c>
      <c r="R13" s="5" t="s">
        <v>37</v>
      </c>
      <c r="S13" s="6">
        <v>45796</v>
      </c>
      <c r="T13" s="5" t="s">
        <v>130</v>
      </c>
    </row>
    <row r="14" spans="1:20" ht="42.75" customHeight="1" x14ac:dyDescent="0.3">
      <c r="A14" s="4"/>
      <c r="B14" s="5"/>
      <c r="C14" s="5"/>
      <c r="D14" s="4"/>
      <c r="E14" s="4"/>
      <c r="F14" s="4"/>
      <c r="G14" s="4"/>
      <c r="H14" s="4"/>
      <c r="I14" s="5"/>
      <c r="J14" s="5"/>
      <c r="K14" s="5"/>
      <c r="L14" s="5"/>
      <c r="M14" s="5"/>
      <c r="N14" s="5"/>
      <c r="O14" s="5"/>
      <c r="P14" s="5"/>
      <c r="Q14" s="6"/>
      <c r="R14" s="5"/>
      <c r="S14" s="4"/>
      <c r="T14" s="5"/>
    </row>
    <row r="15" spans="1:20" ht="42.75" customHeight="1" x14ac:dyDescent="0.3"/>
  </sheetData>
  <autoFilter ref="A4:T15" xr:uid="{00000000-0009-0000-0000-000000000000}"/>
  <conditionalFormatting sqref="F5:F14">
    <cfRule type="cellIs" dxfId="7" priority="2" operator="equal">
      <formula>"Critical"</formula>
    </cfRule>
    <cfRule type="cellIs" dxfId="6" priority="3" operator="equal">
      <formula>"High"</formula>
    </cfRule>
    <cfRule type="cellIs" dxfId="5" priority="4" operator="equal">
      <formula>"Medium"</formula>
    </cfRule>
    <cfRule type="cellIs" dxfId="4" priority="5" operator="equal">
      <formula>"Low"</formula>
    </cfRule>
  </conditionalFormatting>
  <conditionalFormatting sqref="H5:H14">
    <cfRule type="cellIs" dxfId="3" priority="6" operator="equal">
      <formula>"Open"</formula>
    </cfRule>
    <cfRule type="cellIs" dxfId="2" priority="7" operator="equal">
      <formula>"In Progress"</formula>
    </cfRule>
    <cfRule type="cellIs" dxfId="1" priority="8" operator="equal">
      <formula>"Fixed"</formula>
    </cfRule>
    <cfRule type="cellIs" dxfId="0" priority="9" operator="equal">
      <formula>"Closed"</formula>
    </cfRule>
  </conditionalFormatting>
  <dataValidations count="3">
    <dataValidation type="list" sqref="F5:F14" xr:uid="{00000000-0002-0000-0000-000000000000}">
      <formula1>"Critical,High,Medium,Low"</formula1>
      <formula2>0</formula2>
    </dataValidation>
    <dataValidation type="list" sqref="H5:H14" xr:uid="{00000000-0002-0000-0000-000001000000}">
      <formula1>"Open,In Progress,Fixed,Closed,Rejected"</formula1>
      <formula2>0</formula2>
    </dataValidation>
    <dataValidation type="list" sqref="G5:G14" xr:uid="{00000000-0002-0000-0000-000002000000}">
      <formula1>"P1,P2,P3,P4"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7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52" customWidth="1"/>
    <col min="3" max="7" width="12" customWidth="1"/>
  </cols>
  <sheetData>
    <row r="2" spans="2:7" ht="17.399999999999999" x14ac:dyDescent="0.3">
      <c r="B2" s="1" t="s">
        <v>131</v>
      </c>
    </row>
    <row r="3" spans="2:7" x14ac:dyDescent="0.3">
      <c r="B3" s="2" t="s">
        <v>132</v>
      </c>
    </row>
    <row r="5" spans="2:7" x14ac:dyDescent="0.3">
      <c r="B5" s="7" t="s">
        <v>133</v>
      </c>
      <c r="C5" s="7" t="s">
        <v>66</v>
      </c>
      <c r="D5" s="7" t="s">
        <v>89</v>
      </c>
      <c r="E5" s="7" t="s">
        <v>55</v>
      </c>
      <c r="F5" s="7" t="s">
        <v>28</v>
      </c>
      <c r="G5" s="7" t="s">
        <v>134</v>
      </c>
    </row>
    <row r="6" spans="2:7" x14ac:dyDescent="0.3">
      <c r="B6" s="8" t="s">
        <v>135</v>
      </c>
      <c r="C6" s="9">
        <f>COUNTIFS('Bug Log'!$F$5:$F$14,$B6,'Bug Log'!$H$5:$H$14,C$5)</f>
        <v>0</v>
      </c>
      <c r="D6" s="9">
        <f>COUNTIFS('Bug Log'!$F$5:$F$14,$B6,'Bug Log'!$H$5:$H$14,D$5)</f>
        <v>0</v>
      </c>
      <c r="E6" s="9">
        <f>COUNTIFS('Bug Log'!$F$5:$F$14,$B6,'Bug Log'!$H$5:$H$14,E$5)</f>
        <v>0</v>
      </c>
      <c r="F6" s="9">
        <f>COUNTIFS('Bug Log'!$F$5:$F$14,$B6,'Bug Log'!$H$5:$H$14,F$5)</f>
        <v>0</v>
      </c>
      <c r="G6" s="10">
        <f>SUM(C6:F6)</f>
        <v>0</v>
      </c>
    </row>
    <row r="7" spans="2:7" x14ac:dyDescent="0.3">
      <c r="B7" s="8" t="s">
        <v>77</v>
      </c>
      <c r="C7" s="9">
        <f>COUNTIFS('Bug Log'!$F$5:$F$14,$B7,'Bug Log'!$H$5:$H$14,C$5)</f>
        <v>1</v>
      </c>
      <c r="D7" s="9">
        <f>COUNTIFS('Bug Log'!$F$5:$F$14,$B7,'Bug Log'!$H$5:$H$14,D$5)</f>
        <v>0</v>
      </c>
      <c r="E7" s="9">
        <f>COUNTIFS('Bug Log'!$F$5:$F$14,$B7,'Bug Log'!$H$5:$H$14,E$5)</f>
        <v>0</v>
      </c>
      <c r="F7" s="9">
        <f>COUNTIFS('Bug Log'!$F$5:$F$14,$B7,'Bug Log'!$H$5:$H$14,F$5)</f>
        <v>1</v>
      </c>
      <c r="G7" s="10">
        <f>SUM(C7:F7)</f>
        <v>2</v>
      </c>
    </row>
    <row r="8" spans="2:7" x14ac:dyDescent="0.3">
      <c r="B8" s="8" t="s">
        <v>26</v>
      </c>
      <c r="C8" s="9">
        <f>COUNTIFS('Bug Log'!$F$5:$F$14,$B8,'Bug Log'!$H$5:$H$14,C$5)</f>
        <v>1</v>
      </c>
      <c r="D8" s="9">
        <f>COUNTIFS('Bug Log'!$F$5:$F$14,$B8,'Bug Log'!$H$5:$H$14,D$5)</f>
        <v>1</v>
      </c>
      <c r="E8" s="9">
        <f>COUNTIFS('Bug Log'!$F$5:$F$14,$B8,'Bug Log'!$H$5:$H$14,E$5)</f>
        <v>1</v>
      </c>
      <c r="F8" s="9">
        <f>COUNTIFS('Bug Log'!$F$5:$F$14,$B8,'Bug Log'!$H$5:$H$14,F$5)</f>
        <v>2</v>
      </c>
      <c r="G8" s="10">
        <f>SUM(C8:F8)</f>
        <v>5</v>
      </c>
    </row>
    <row r="9" spans="2:7" x14ac:dyDescent="0.3">
      <c r="B9" s="8" t="s">
        <v>112</v>
      </c>
      <c r="C9" s="9">
        <f>COUNTIFS('Bug Log'!$F$5:$F$14,$B9,'Bug Log'!$H$5:$H$14,C$5)</f>
        <v>1</v>
      </c>
      <c r="D9" s="9">
        <f>COUNTIFS('Bug Log'!$F$5:$F$14,$B9,'Bug Log'!$H$5:$H$14,D$5)</f>
        <v>0</v>
      </c>
      <c r="E9" s="9">
        <f>COUNTIFS('Bug Log'!$F$5:$F$14,$B9,'Bug Log'!$H$5:$H$14,E$5)</f>
        <v>0</v>
      </c>
      <c r="F9" s="9">
        <f>COUNTIFS('Bug Log'!$F$5:$F$14,$B9,'Bug Log'!$H$5:$H$14,F$5)</f>
        <v>1</v>
      </c>
      <c r="G9" s="10">
        <f>SUM(C9:F9)</f>
        <v>2</v>
      </c>
    </row>
    <row r="10" spans="2:7" x14ac:dyDescent="0.3">
      <c r="B10" s="11" t="s">
        <v>134</v>
      </c>
      <c r="C10" s="12">
        <f>SUM(C6:C9)</f>
        <v>3</v>
      </c>
      <c r="D10" s="12">
        <f>SUM(D6:D9)</f>
        <v>1</v>
      </c>
      <c r="E10" s="12">
        <f>SUM(E6:E9)</f>
        <v>1</v>
      </c>
      <c r="F10" s="12">
        <f>SUM(F6:F9)</f>
        <v>4</v>
      </c>
      <c r="G10" s="12">
        <f>SUM(G6:G9)</f>
        <v>9</v>
      </c>
    </row>
    <row r="12" spans="2:7" ht="15.6" x14ac:dyDescent="0.3">
      <c r="B12" s="13" t="s">
        <v>136</v>
      </c>
    </row>
    <row r="13" spans="2:7" x14ac:dyDescent="0.3">
      <c r="B13" s="7" t="s">
        <v>5</v>
      </c>
      <c r="C13" s="7" t="s">
        <v>137</v>
      </c>
      <c r="D13" s="7" t="s">
        <v>138</v>
      </c>
    </row>
    <row r="14" spans="2:7" x14ac:dyDescent="0.3">
      <c r="B14" s="8" t="s">
        <v>25</v>
      </c>
      <c r="C14" s="9">
        <f>COUNTIF('Bug Log'!$E$5:$E$14,B14)</f>
        <v>4</v>
      </c>
      <c r="D14" s="14">
        <f>IF($G$10=0,0,C14/$G$10)</f>
        <v>0.44444444444444442</v>
      </c>
    </row>
    <row r="15" spans="2:7" x14ac:dyDescent="0.3">
      <c r="B15" s="8" t="s">
        <v>54</v>
      </c>
      <c r="C15" s="9">
        <f>COUNTIF('Bug Log'!$E$5:$E$14,B15)</f>
        <v>3</v>
      </c>
      <c r="D15" s="14">
        <f>IF($G$10=0,0,C15/$G$10)</f>
        <v>0.33333333333333331</v>
      </c>
    </row>
    <row r="16" spans="2:7" x14ac:dyDescent="0.3">
      <c r="B16" s="8" t="s">
        <v>84</v>
      </c>
      <c r="C16" s="9">
        <f>COUNTIF('Bug Log'!$E$5:$E$14,B16)</f>
        <v>0</v>
      </c>
      <c r="D16" s="14">
        <f>IF($G$10=0,0,C16/$G$10)</f>
        <v>0</v>
      </c>
    </row>
    <row r="17" spans="2:4" x14ac:dyDescent="0.3">
      <c r="B17" s="8" t="s">
        <v>100</v>
      </c>
      <c r="C17" s="9">
        <f>COUNTIF('Bug Log'!$E$5:$E$14,B17)</f>
        <v>1</v>
      </c>
      <c r="D17" s="14">
        <f>IF($G$10=0,0,C17/$G$10)</f>
        <v>0.1111111111111111</v>
      </c>
    </row>
    <row r="18" spans="2:4" x14ac:dyDescent="0.3">
      <c r="B18" s="8" t="s">
        <v>124</v>
      </c>
      <c r="C18" s="9">
        <f>COUNTIF('Bug Log'!$E$5:$E$14,B18)</f>
        <v>1</v>
      </c>
      <c r="D18" s="14">
        <f>IF($G$10=0,0,C18/$G$10)</f>
        <v>0.1111111111111111</v>
      </c>
    </row>
    <row r="20" spans="2:4" ht="15.6" x14ac:dyDescent="0.3">
      <c r="B20" s="13" t="s">
        <v>139</v>
      </c>
    </row>
    <row r="21" spans="2:4" x14ac:dyDescent="0.3">
      <c r="B21" s="15" t="s">
        <v>140</v>
      </c>
      <c r="C21" s="10">
        <f>G10</f>
        <v>9</v>
      </c>
    </row>
    <row r="22" spans="2:4" x14ac:dyDescent="0.3">
      <c r="B22" s="15" t="s">
        <v>141</v>
      </c>
      <c r="C22" s="10">
        <f>G10-F10</f>
        <v>5</v>
      </c>
    </row>
    <row r="23" spans="2:4" x14ac:dyDescent="0.3">
      <c r="B23" s="15" t="s">
        <v>28</v>
      </c>
      <c r="C23" s="10">
        <f>F10</f>
        <v>4</v>
      </c>
    </row>
    <row r="24" spans="2:4" x14ac:dyDescent="0.3">
      <c r="B24" s="15" t="s">
        <v>142</v>
      </c>
      <c r="C24" s="16">
        <f>IF(G10=0,0,F10/G10)</f>
        <v>0.44444444444444442</v>
      </c>
    </row>
    <row r="25" spans="2:4" x14ac:dyDescent="0.3">
      <c r="B25" s="15" t="s">
        <v>143</v>
      </c>
      <c r="C25" s="10">
        <f>C6+C7+D6+D7</f>
        <v>1</v>
      </c>
    </row>
    <row r="26" spans="2:4" x14ac:dyDescent="0.3">
      <c r="B26" s="15" t="s">
        <v>144</v>
      </c>
      <c r="C26" s="10">
        <f>COUNTIF('Bug Log'!$D$5:$D$14,"Web")</f>
        <v>7</v>
      </c>
    </row>
    <row r="27" spans="2:4" x14ac:dyDescent="0.3">
      <c r="B27" s="15" t="s">
        <v>145</v>
      </c>
      <c r="C27" s="10">
        <f>COUNTIF('Bug Log'!$D$5:$D$14,"Mobile")</f>
        <v>2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D16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4" customWidth="1"/>
    <col min="3" max="3" width="60" customWidth="1"/>
    <col min="4" max="4" width="44" customWidth="1"/>
  </cols>
  <sheetData>
    <row r="2" spans="2:4" ht="17.399999999999999" x14ac:dyDescent="0.3">
      <c r="B2" s="1" t="s">
        <v>146</v>
      </c>
    </row>
    <row r="4" spans="2:4" x14ac:dyDescent="0.3">
      <c r="B4" s="17" t="s">
        <v>6</v>
      </c>
      <c r="C4" s="17" t="s">
        <v>147</v>
      </c>
      <c r="D4" s="17" t="s">
        <v>148</v>
      </c>
    </row>
    <row r="5" spans="2:4" ht="26.4" x14ac:dyDescent="0.3">
      <c r="B5" s="18" t="s">
        <v>135</v>
      </c>
      <c r="C5" s="18" t="s">
        <v>149</v>
      </c>
      <c r="D5" s="18" t="s">
        <v>150</v>
      </c>
    </row>
    <row r="6" spans="2:4" x14ac:dyDescent="0.3">
      <c r="B6" s="18" t="s">
        <v>77</v>
      </c>
      <c r="C6" s="18" t="s">
        <v>151</v>
      </c>
      <c r="D6" s="18" t="s">
        <v>152</v>
      </c>
    </row>
    <row r="7" spans="2:4" x14ac:dyDescent="0.3">
      <c r="B7" s="18" t="s">
        <v>26</v>
      </c>
      <c r="C7" s="18" t="s">
        <v>153</v>
      </c>
      <c r="D7" s="18" t="s">
        <v>154</v>
      </c>
    </row>
    <row r="8" spans="2:4" x14ac:dyDescent="0.3">
      <c r="B8" s="18" t="s">
        <v>112</v>
      </c>
      <c r="C8" s="18" t="s">
        <v>155</v>
      </c>
      <c r="D8" s="18" t="s">
        <v>156</v>
      </c>
    </row>
    <row r="9" spans="2:4" x14ac:dyDescent="0.3">
      <c r="B9" s="18"/>
      <c r="C9" s="19"/>
      <c r="D9" s="18" t="s">
        <v>157</v>
      </c>
    </row>
    <row r="10" spans="2:4" x14ac:dyDescent="0.3">
      <c r="B10" s="17" t="s">
        <v>7</v>
      </c>
      <c r="C10" s="17" t="s">
        <v>158</v>
      </c>
      <c r="D10" s="20"/>
    </row>
    <row r="11" spans="2:4" x14ac:dyDescent="0.3">
      <c r="B11" s="18" t="s">
        <v>85</v>
      </c>
      <c r="C11" s="18" t="s">
        <v>159</v>
      </c>
      <c r="D11" s="19"/>
    </row>
    <row r="12" spans="2:4" x14ac:dyDescent="0.3">
      <c r="B12" s="18" t="s">
        <v>42</v>
      </c>
      <c r="C12" s="18" t="s">
        <v>160</v>
      </c>
      <c r="D12" s="19"/>
    </row>
    <row r="13" spans="2:4" x14ac:dyDescent="0.3">
      <c r="B13" s="18" t="s">
        <v>27</v>
      </c>
      <c r="C13" s="18" t="s">
        <v>161</v>
      </c>
      <c r="D13" s="19"/>
    </row>
    <row r="14" spans="2:4" x14ac:dyDescent="0.3">
      <c r="B14" s="18" t="s">
        <v>113</v>
      </c>
      <c r="C14" s="18" t="s">
        <v>162</v>
      </c>
      <c r="D14" s="19"/>
    </row>
    <row r="16" spans="2:4" x14ac:dyDescent="0.3">
      <c r="B16" s="2" t="s">
        <v>163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Bug Log</vt:lpstr>
      <vt:lpstr>Summary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2026-10-03T15:42:37Z</dcterms:created>
  <dcterms:modified xsi:type="dcterms:W3CDTF">2026-10-04T07:20:18Z</dcterms:modified>
  <dc:language>en-US</dc:language>
</cp:coreProperties>
</file>