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orto qa\"/>
    </mc:Choice>
  </mc:AlternateContent>
  <xr:revisionPtr revIDLastSave="0" documentId="8_{86625625-1A0F-4E28-955D-EE40EE1E46FF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Cover" sheetId="1" r:id="rId1"/>
    <sheet name="Test Scenario" sheetId="2" r:id="rId2"/>
    <sheet name="Test Case" sheetId="3" r:id="rId3"/>
    <sheet name="Bug Report" sheetId="4" r:id="rId4"/>
    <sheet name="Test Summary" sheetId="5" r:id="rId5"/>
  </sheets>
  <definedNames>
    <definedName name="_xlnm._FilterDatabase" localSheetId="3" hidden="1">'Bug Report'!$A$4:$Q$12</definedName>
    <definedName name="_xlnm._FilterDatabase" localSheetId="2" hidden="1">'Test Case'!$A$4:$Q$49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" i="4" l="1"/>
  <c r="L6" i="4"/>
  <c r="L7" i="4"/>
  <c r="L9" i="4"/>
  <c r="B36" i="5"/>
  <c r="B35" i="5"/>
  <c r="B34" i="5"/>
  <c r="B33" i="5"/>
  <c r="B32" i="5"/>
  <c r="C26" i="5"/>
  <c r="B26" i="5"/>
  <c r="C25" i="5"/>
  <c r="B25" i="5"/>
  <c r="C24" i="5"/>
  <c r="B24" i="5"/>
  <c r="C23" i="5"/>
  <c r="B43" i="5" s="1"/>
  <c r="B23" i="5"/>
  <c r="B27" i="5" s="1"/>
  <c r="B15" i="5"/>
  <c r="D13" i="5"/>
  <c r="C10" i="5"/>
  <c r="B7" i="5"/>
  <c r="L12" i="4"/>
  <c r="L11" i="4"/>
  <c r="L10" i="4"/>
  <c r="L8" i="4"/>
  <c r="O49" i="3"/>
  <c r="C49" i="3"/>
  <c r="O48" i="3"/>
  <c r="C48" i="3"/>
  <c r="O47" i="3"/>
  <c r="C47" i="3"/>
  <c r="O46" i="3"/>
  <c r="C46" i="3"/>
  <c r="O45" i="3"/>
  <c r="C45" i="3"/>
  <c r="O44" i="3"/>
  <c r="C44" i="3"/>
  <c r="O43" i="3"/>
  <c r="C43" i="3"/>
  <c r="O42" i="3"/>
  <c r="C42" i="3"/>
  <c r="O41" i="3"/>
  <c r="C41" i="3"/>
  <c r="O40" i="3"/>
  <c r="C40" i="3"/>
  <c r="O39" i="3"/>
  <c r="C39" i="3"/>
  <c r="O38" i="3"/>
  <c r="C38" i="3"/>
  <c r="O37" i="3"/>
  <c r="C37" i="3"/>
  <c r="O36" i="3"/>
  <c r="C36" i="3"/>
  <c r="O35" i="3"/>
  <c r="C35" i="3"/>
  <c r="O34" i="3"/>
  <c r="C34" i="3"/>
  <c r="O33" i="3"/>
  <c r="C33" i="3"/>
  <c r="O32" i="3"/>
  <c r="C32" i="3"/>
  <c r="O31" i="3"/>
  <c r="C31" i="3"/>
  <c r="O30" i="3"/>
  <c r="C30" i="3"/>
  <c r="O29" i="3"/>
  <c r="C29" i="3"/>
  <c r="O28" i="3"/>
  <c r="C28" i="3"/>
  <c r="O27" i="3"/>
  <c r="C27" i="3"/>
  <c r="O26" i="3"/>
  <c r="C26" i="3"/>
  <c r="O25" i="3"/>
  <c r="C25" i="3"/>
  <c r="O24" i="3"/>
  <c r="C24" i="3"/>
  <c r="O23" i="3"/>
  <c r="C23" i="3"/>
  <c r="O22" i="3"/>
  <c r="C22" i="3"/>
  <c r="O21" i="3"/>
  <c r="C21" i="3"/>
  <c r="O20" i="3"/>
  <c r="C20" i="3"/>
  <c r="O19" i="3"/>
  <c r="C19" i="3"/>
  <c r="O18" i="3"/>
  <c r="C18" i="3"/>
  <c r="O17" i="3"/>
  <c r="C17" i="3"/>
  <c r="O16" i="3"/>
  <c r="C16" i="3"/>
  <c r="O15" i="3"/>
  <c r="C15" i="3"/>
  <c r="O14" i="3"/>
  <c r="C14" i="3"/>
  <c r="O13" i="3"/>
  <c r="C13" i="3"/>
  <c r="O12" i="3"/>
  <c r="C12" i="3"/>
  <c r="O11" i="3"/>
  <c r="C11" i="3"/>
  <c r="O10" i="3"/>
  <c r="C10" i="3"/>
  <c r="O9" i="3"/>
  <c r="C9" i="3"/>
  <c r="O8" i="3"/>
  <c r="C8" i="3"/>
  <c r="O7" i="3"/>
  <c r="C7" i="3"/>
  <c r="O6" i="3"/>
  <c r="C6" i="3"/>
  <c r="O5" i="3"/>
  <c r="C5" i="3"/>
  <c r="D16" i="5" s="1"/>
  <c r="H16" i="2"/>
  <c r="I16" i="2" s="1"/>
  <c r="G16" i="2"/>
  <c r="F16" i="2"/>
  <c r="H15" i="2"/>
  <c r="G15" i="2"/>
  <c r="F15" i="2"/>
  <c r="H14" i="2"/>
  <c r="I14" i="2" s="1"/>
  <c r="G14" i="2"/>
  <c r="F14" i="2"/>
  <c r="H13" i="2"/>
  <c r="G13" i="2"/>
  <c r="F13" i="2"/>
  <c r="H12" i="2"/>
  <c r="I12" i="2" s="1"/>
  <c r="G12" i="2"/>
  <c r="F12" i="2"/>
  <c r="H11" i="2"/>
  <c r="G11" i="2"/>
  <c r="F11" i="2"/>
  <c r="H10" i="2"/>
  <c r="I10" i="2" s="1"/>
  <c r="G10" i="2"/>
  <c r="F10" i="2"/>
  <c r="H9" i="2"/>
  <c r="G9" i="2"/>
  <c r="F9" i="2"/>
  <c r="H8" i="2"/>
  <c r="I8" i="2" s="1"/>
  <c r="G8" i="2"/>
  <c r="F8" i="2"/>
  <c r="H7" i="2"/>
  <c r="G7" i="2"/>
  <c r="F7" i="2"/>
  <c r="H6" i="2"/>
  <c r="I6" i="2" s="1"/>
  <c r="G6" i="2"/>
  <c r="F6" i="2"/>
  <c r="H5" i="2"/>
  <c r="G5" i="2"/>
  <c r="F5" i="2"/>
  <c r="I13" i="2" l="1"/>
  <c r="I11" i="2"/>
  <c r="I5" i="2"/>
  <c r="I9" i="2"/>
  <c r="I7" i="2"/>
  <c r="I15" i="2"/>
  <c r="B42" i="5"/>
  <c r="B41" i="5"/>
  <c r="C7" i="5"/>
  <c r="F7" i="5" s="1"/>
  <c r="D10" i="5"/>
  <c r="B12" i="5"/>
  <c r="C15" i="5"/>
  <c r="F15" i="5" s="1"/>
  <c r="D7" i="5"/>
  <c r="B9" i="5"/>
  <c r="C12" i="5"/>
  <c r="D15" i="5"/>
  <c r="B17" i="5"/>
  <c r="B6" i="5"/>
  <c r="C9" i="5"/>
  <c r="D12" i="5"/>
  <c r="B14" i="5"/>
  <c r="C17" i="5"/>
  <c r="C6" i="5"/>
  <c r="D9" i="5"/>
  <c r="B11" i="5"/>
  <c r="C14" i="5"/>
  <c r="D17" i="5"/>
  <c r="D6" i="5"/>
  <c r="B8" i="5"/>
  <c r="C11" i="5"/>
  <c r="D14" i="5"/>
  <c r="B16" i="5"/>
  <c r="C27" i="5"/>
  <c r="C8" i="5"/>
  <c r="D11" i="5"/>
  <c r="B13" i="5"/>
  <c r="C16" i="5"/>
  <c r="D8" i="5"/>
  <c r="B10" i="5"/>
  <c r="C13" i="5"/>
  <c r="E15" i="5" l="1"/>
  <c r="E11" i="5"/>
  <c r="F11" i="5"/>
  <c r="E7" i="5"/>
  <c r="F12" i="5"/>
  <c r="E12" i="5"/>
  <c r="B18" i="5"/>
  <c r="F6" i="5"/>
  <c r="E6" i="5"/>
  <c r="C18" i="5"/>
  <c r="F17" i="5"/>
  <c r="E17" i="5"/>
  <c r="F16" i="5"/>
  <c r="E16" i="5"/>
  <c r="F10" i="5"/>
  <c r="E10" i="5"/>
  <c r="E8" i="5"/>
  <c r="F8" i="5"/>
  <c r="F13" i="5"/>
  <c r="E13" i="5"/>
  <c r="D18" i="5"/>
  <c r="F14" i="5"/>
  <c r="E14" i="5"/>
  <c r="F9" i="5"/>
  <c r="E9" i="5"/>
  <c r="E18" i="5" l="1"/>
  <c r="F18" i="5"/>
  <c r="B40" i="5" s="1"/>
  <c r="B39" i="5"/>
</calcChain>
</file>

<file path=xl/sharedStrings.xml><?xml version="1.0" encoding="utf-8"?>
<sst xmlns="http://schemas.openxmlformats.org/spreadsheetml/2006/main" count="823" uniqueCount="444">
  <si>
    <t>TEST DOCUMENTATION</t>
  </si>
  <si>
    <t>Sistem Informasi Desa Pangombusan (Website)</t>
  </si>
  <si>
    <t>Document Title</t>
  </si>
  <si>
    <t>Test Scenario, Test Case &amp; Bug Report</t>
  </si>
  <si>
    <t>Project</t>
  </si>
  <si>
    <t>Sistem Informasi Desa Pangombusan</t>
  </si>
  <si>
    <t>Version</t>
  </si>
  <si>
    <t>1.0</t>
  </si>
  <si>
    <t>Prepared by (QA)</t>
  </si>
  <si>
    <t>Test Date</t>
  </si>
  <si>
    <t>05 – 07 Juni 2023 (Cycle 1); 09 Juni 2023 (Retest)</t>
  </si>
  <si>
    <t>Test Type</t>
  </si>
  <si>
    <t>Black Box – Functional Testing (manual)</t>
  </si>
  <si>
    <t>Test Level</t>
  </si>
  <si>
    <t>Unit / Function Level</t>
  </si>
  <si>
    <t>Environment</t>
  </si>
  <si>
    <t>Windows 11, Apache, MySQL, Google Chrome / Mozilla Firefox / Microsoft Edge</t>
  </si>
  <si>
    <t>Scope (In)</t>
  </si>
  <si>
    <t>Registrasi, Login, Kelola Berita, Pengumuman, Galeri, Saran, Surat Pengantar KTP (pengajuan &amp; approval), Logout, Halaman publik, Kontrol akses dasar, Kompatibilitas browser</t>
  </si>
  <si>
    <t>Scope (Out)</t>
  </si>
  <si>
    <t>Performance testing, load testing, penetration testing menyeluruh</t>
  </si>
  <si>
    <t>Acceptance Basis</t>
  </si>
  <si>
    <t>Fungsi F-01 s.d. F-35 pada dokumen Testing proyek; aturan validasi tambahan (mis. password min. 8 karakter, NIK 16 digit) ditetapkan oleh tester sebagai acuan.</t>
  </si>
  <si>
    <t>Definisi Severity &amp; Priority</t>
  </si>
  <si>
    <t>Critical</t>
  </si>
  <si>
    <t>Sistem crash / celah keamanan serius / data hilang; tidak ada workaround.</t>
  </si>
  <si>
    <t>High</t>
  </si>
  <si>
    <t>Fungsi utama tidak berjalan benar atau validasi data penting gagal; workaround sulit.</t>
  </si>
  <si>
    <t>Medium</t>
  </si>
  <si>
    <t>Fungsi berjalan sebagian / hasil kurang tepat; ada workaround.</t>
  </si>
  <si>
    <t>Low</t>
  </si>
  <si>
    <t>Masalah kosmetik / tampilan; tidak mempengaruhi fungsi.</t>
  </si>
  <si>
    <t>Priority</t>
  </si>
  <si>
    <t>Urgensi perbaikan oleh developer: High (segera), Medium (rilis berikutnya), Low (jika sempat).</t>
  </si>
  <si>
    <t>Bug Lifecycle</t>
  </si>
  <si>
    <t>Open → Fixed (siap retest) → Closed  |  jika retest gagal: Reopened</t>
  </si>
  <si>
    <t>Daftar Sheet</t>
  </si>
  <si>
    <t>Test Scenario</t>
  </si>
  <si>
    <t>Daftar skenario uji per modul + status otomatis</t>
  </si>
  <si>
    <t>Test Case</t>
  </si>
  <si>
    <t>Detail test case: langkah, data uji, expected vs actual, status, evidence</t>
  </si>
  <si>
    <t>Bug Report</t>
  </si>
  <si>
    <t>Daftar defect hasil pengujian beserta severity, status &amp; evidence</t>
  </si>
  <si>
    <t>Test Summary</t>
  </si>
  <si>
    <t>Rekap hasil eksekusi &amp; defect (otomatis dari sheet lain)</t>
  </si>
  <si>
    <t>Catatan: sel kuning (C8) = isi nama tester; otomatis terisi di kolom Tester pada Test Case &amp; Bug Report. Kolom Evidence berisi nama file screenshot di folder /Evidence.</t>
  </si>
  <si>
    <t>Test Scenario – Sistem Informasi Desa Pangombusan</t>
  </si>
  <si>
    <t>Status scenario dihitung otomatis dari hasil Test Case</t>
  </si>
  <si>
    <t>TS ID</t>
  </si>
  <si>
    <t>Module</t>
  </si>
  <si>
    <t>Function Ref</t>
  </si>
  <si>
    <t>Total TC</t>
  </si>
  <si>
    <t>Passed</t>
  </si>
  <si>
    <t>Failed</t>
  </si>
  <si>
    <t>Scenario Status</t>
  </si>
  <si>
    <t>TS-01</t>
  </si>
  <si>
    <t>Registrasi</t>
  </si>
  <si>
    <t>Verifikasi user dapat mendaftar akun dan sistem memvalidasi input registrasi</t>
  </si>
  <si>
    <t>F-01</t>
  </si>
  <si>
    <t>TS-02</t>
  </si>
  <si>
    <t>Login</t>
  </si>
  <si>
    <t>Verifikasi admin/user dapat login dengan kredensial valid dan ditolak jika tidak valid</t>
  </si>
  <si>
    <t>F-02</t>
  </si>
  <si>
    <t>TS-03</t>
  </si>
  <si>
    <t>Kelola Berita</t>
  </si>
  <si>
    <t>Verifikasi lihat, tambah, edit, dan hapus berita terbaru</t>
  </si>
  <si>
    <t>F-03 – F-06</t>
  </si>
  <si>
    <t>TS-04</t>
  </si>
  <si>
    <t>Kelola Pengumuman</t>
  </si>
  <si>
    <t>Verifikasi tambah, edit, hapus, dan tampilan pengumuman</t>
  </si>
  <si>
    <t>F-10 – F-13</t>
  </si>
  <si>
    <t>TS-05</t>
  </si>
  <si>
    <t>Surat Pengantar KTP – Pengajuan</t>
  </si>
  <si>
    <t>Verifikasi user dapat mengajukan surat pengantar KTP dengan data valid</t>
  </si>
  <si>
    <t>F-09, F-30</t>
  </si>
  <si>
    <t>TS-06</t>
  </si>
  <si>
    <t>Surat Pengantar KTP – Approval</t>
  </si>
  <si>
    <t>Verifikasi admin dapat menyetujui / menolak dan melihat daftar approve/reject</t>
  </si>
  <si>
    <t>F-31 – F-34</t>
  </si>
  <si>
    <t>TS-07</t>
  </si>
  <si>
    <t>Kelola Saran</t>
  </si>
  <si>
    <t>Verifikasi kirim, lihat, edit, hapus saran serta penanganan input berbahaya</t>
  </si>
  <si>
    <t>F-22 – F-25</t>
  </si>
  <si>
    <t>TS-08</t>
  </si>
  <si>
    <t>Kelola Galeri</t>
  </si>
  <si>
    <t>Verifikasi tambah dan hapus foto galeri beserta validasi file</t>
  </si>
  <si>
    <t>F-18 – F-21</t>
  </si>
  <si>
    <t>TS-09</t>
  </si>
  <si>
    <t>Logout</t>
  </si>
  <si>
    <t>Verifikasi logout mengakhiri sesi dengan benar</t>
  </si>
  <si>
    <t>F-35</t>
  </si>
  <si>
    <t>TS-10</t>
  </si>
  <si>
    <t>Halaman Publik</t>
  </si>
  <si>
    <t>Verifikasi profil desa, kontak, visi misi, dan struktur pemerintahan dapat dilihat guest</t>
  </si>
  <si>
    <t>F-07, F-08, F-14, F-26</t>
  </si>
  <si>
    <t>TS-11</t>
  </si>
  <si>
    <t>Kontrol Akses</t>
  </si>
  <si>
    <t>Verifikasi halaman admin tidak dapat diakses tanpa hak akses</t>
  </si>
  <si>
    <t>TS-12</t>
  </si>
  <si>
    <t>Kompatibilitas Browser</t>
  </si>
  <si>
    <t>Verifikasi tampilan &amp; fungsi utama konsisten di Chrome, Firefox, dan Edge</t>
  </si>
  <si>
    <t>–</t>
  </si>
  <si>
    <t>Test Case – Sistem Informasi Desa Pangombusan</t>
  </si>
  <si>
    <t>Status: Pass / Fail / Blocked / Not Run  |  Evidence: nama file screenshot di folder /Evidence</t>
  </si>
  <si>
    <t>TC ID</t>
  </si>
  <si>
    <t>Type</t>
  </si>
  <si>
    <t>Precondition</t>
  </si>
  <si>
    <t>Test Steps</t>
  </si>
  <si>
    <t>Test Data</t>
  </si>
  <si>
    <t>Expected Result</t>
  </si>
  <si>
    <t>Actual Result</t>
  </si>
  <si>
    <t>Status</t>
  </si>
  <si>
    <t>Bug ID</t>
  </si>
  <si>
    <t>Retest Result</t>
  </si>
  <si>
    <t>Tester</t>
  </si>
  <si>
    <t>Evidence</t>
  </si>
  <si>
    <t>TC-001</t>
  </si>
  <si>
    <t>Registrasi dengan data valid</t>
  </si>
  <si>
    <t>Positive</t>
  </si>
  <si>
    <t>User belum memiliki akun</t>
  </si>
  <si>
    <t>1. Buka halaman website
2. Klik menu Registrasi
3. Isi semua field dengan data valid
4. Klik tombol Daftar</t>
  </si>
  <si>
    <t>Nama: Budi Santoso
Email: budi.santoso@mail.com
Password: Budi@2023</t>
  </si>
  <si>
    <t>Akun berhasil dibuat dan sistem menampilkan halaman Login</t>
  </si>
  <si>
    <t>Sesuai dengan expected result.</t>
  </si>
  <si>
    <t>Pass</t>
  </si>
  <si>
    <t>TC-002</t>
  </si>
  <si>
    <t>Registrasi dengan email yang sudah terdaftar</t>
  </si>
  <si>
    <t>Negative</t>
  </si>
  <si>
    <t>Email budi.santoso@mail.com sudah terdaftar</t>
  </si>
  <si>
    <t>1. Buka halaman Registrasi
2. Isi form dengan email yang sudah terdaftar
3. Klik tombol Daftar</t>
  </si>
  <si>
    <t>Email: budi.santoso@mail.com (sudah terdaftar)</t>
  </si>
  <si>
    <t>Sistem menampilkan pesan "Email sudah terdaftar" dan akun tidak dibuat</t>
  </si>
  <si>
    <t>Muncul halaman error database: "Duplicate entry 'budi.santoso@mail.com' for key 'email'"</t>
  </si>
  <si>
    <t>Fail</t>
  </si>
  <si>
    <t>BUG-001</t>
  </si>
  <si>
    <t>TC-003</t>
  </si>
  <si>
    <t>Registrasi dengan semua field kosong</t>
  </si>
  <si>
    <t>User berada di halaman website</t>
  </si>
  <si>
    <t>1. Buka halaman Registrasi
2. Biarkan semua field kosong
3. Klik tombol Daftar</t>
  </si>
  <si>
    <t>(kosong)</t>
  </si>
  <si>
    <t>Sistem menampilkan pesan validasi pada field wajib diisi</t>
  </si>
  <si>
    <t>TC-004</t>
  </si>
  <si>
    <t>Registrasi dengan format email tidak valid</t>
  </si>
  <si>
    <t>1. Buka halaman Registrasi
2. Isi email tanpa domain
3. Klik tombol Daftar</t>
  </si>
  <si>
    <t>Email: budi.santoso@</t>
  </si>
  <si>
    <t>Sistem menolak dan menampilkan pesan format email tidak valid</t>
  </si>
  <si>
    <t>TC-005</t>
  </si>
  <si>
    <t>Registrasi dengan password kurang dari 8 karakter</t>
  </si>
  <si>
    <t>1. Buka halaman Registrasi
2. Isi data valid dengan password 1 karakter
3. Klik tombol Daftar</t>
  </si>
  <si>
    <t>Password: 1</t>
  </si>
  <si>
    <t>Sistem menolak dan menampilkan pesan "Password minimal 8 karakter"</t>
  </si>
  <si>
    <t>Registrasi berhasil dan akun dibuat dengan password 1 karakter</t>
  </si>
  <si>
    <t>BUG-002</t>
  </si>
  <si>
    <t>TC-006</t>
  </si>
  <si>
    <t>Login admin dengan kredensial valid</t>
  </si>
  <si>
    <t>Akun admin sudah terdaftar</t>
  </si>
  <si>
    <t>1. Pilih menu Login
2. Isi email dan password admin
3. Klik tombol Login</t>
  </si>
  <si>
    <t>Email: admin@desa.test
Password: Admin@123</t>
  </si>
  <si>
    <t>Login berhasil dan sistem menampilkan halaman Home</t>
  </si>
  <si>
    <t>TC-007</t>
  </si>
  <si>
    <t>Login user dengan kredensial valid</t>
  </si>
  <si>
    <t>Akun user sudah terdaftar</t>
  </si>
  <si>
    <t>1. Pilih menu Login
2. Isi email dan password user
3. Klik tombol Login</t>
  </si>
  <si>
    <t>Email: budi.santoso@mail.com
Password: Budi@2023</t>
  </si>
  <si>
    <t>TC-008</t>
  </si>
  <si>
    <t>Login dengan form kosong</t>
  </si>
  <si>
    <t>1. Pilih menu Login
2. Biarkan form kosong
3. Klik tombol Login</t>
  </si>
  <si>
    <t>Sistem menampilkan pesan "Isi form"</t>
  </si>
  <si>
    <t>TC-009</t>
  </si>
  <si>
    <t>Login dengan email salah dan password benar</t>
  </si>
  <si>
    <t>1. Pilih menu Login
2. Isi email yang tidak terdaftar dan password benar
3. Klik tombol Login</t>
  </si>
  <si>
    <t>Email: salah@mail.com
Password: Admin@123</t>
  </si>
  <si>
    <t>Login ditolak dan sistem menampilkan "Invalid login"</t>
  </si>
  <si>
    <t>TC-010</t>
  </si>
  <si>
    <t>Login dengan email benar dan password salah</t>
  </si>
  <si>
    <t>1. Pilih menu Login
2. Isi email benar dan password salah
3. Klik tombol Login</t>
  </si>
  <si>
    <t>Email: admin@desa.test
Password: salah123</t>
  </si>
  <si>
    <t>TC-011</t>
  </si>
  <si>
    <t>Login dengan input SQL injection pada field email</t>
  </si>
  <si>
    <t>1. Pilih menu Login
2. Isi email dengan string SQL injection
3. Klik tombol Login</t>
  </si>
  <si>
    <t>Email: ' OR '1'='1
Password: sembarang</t>
  </si>
  <si>
    <t>TC-012</t>
  </si>
  <si>
    <t>Guest melihat daftar berita terbaru</t>
  </si>
  <si>
    <t>Terdapat minimal 1 berita</t>
  </si>
  <si>
    <t>1. Buka halaman Home
2. Klik menu Berita Terbaru</t>
  </si>
  <si>
    <t>-</t>
  </si>
  <si>
    <t>Halaman berita menampilkan daftar berita diurutkan dari yang terbaru</t>
  </si>
  <si>
    <t>TC-013</t>
  </si>
  <si>
    <t>Admin menambah berita dengan data valid</t>
  </si>
  <si>
    <t>Login sebagai admin</t>
  </si>
  <si>
    <t>1. Buka menu Kelola Berita
2. Klik Tambah Berita
3. Isi judul, isi, dan unggah gambar
4. Klik Simpan</t>
  </si>
  <si>
    <t>Judul: Gotong Royong Desa
Gambar: berita1.jpg (200 KB)</t>
  </si>
  <si>
    <t>Berita tersimpan dan tampil di daftar berita terbaru</t>
  </si>
  <si>
    <t>TC-014</t>
  </si>
  <si>
    <t>Admin menambah berita dengan file bukan gambar</t>
  </si>
  <si>
    <t>1. Buka menu Kelola Berita
2. Klik Tambah Berita
3. Isi judul dan isi, unggah file PDF pada field gambar
4. Klik Simpan</t>
  </si>
  <si>
    <t>File: berita.pdf (150 KB)</t>
  </si>
  <si>
    <t>Sistem menolak file dan menampilkan pesan "File harus berupa gambar (JPG/PNG)"</t>
  </si>
  <si>
    <t>File PDF diterima, berita tersimpan, thumbnail di halaman Home tampil sebagai broken image</t>
  </si>
  <si>
    <t>BUG-003</t>
  </si>
  <si>
    <t>TC-015</t>
  </si>
  <si>
    <t>Admin menambah berita dengan judul kosong</t>
  </si>
  <si>
    <t>1. Buka menu Kelola Berita
2. Klik Tambah Berita
3. Kosongkan judul, isi konten
4. Klik Simpan</t>
  </si>
  <si>
    <t>Judul: (kosong)</t>
  </si>
  <si>
    <t>Sistem menampilkan pesan validasi judul wajib diisi</t>
  </si>
  <si>
    <t>TC-016</t>
  </si>
  <si>
    <t>Admin mengedit berita</t>
  </si>
  <si>
    <t>Login sebagai admin; berita tersedia</t>
  </si>
  <si>
    <t>1. Buka menu Kelola Berita
2. Klik Edit pada salah satu berita
3. Ubah judul
4. Klik Simpan</t>
  </si>
  <si>
    <t>Judul baru: Gotong Royong Dusun I</t>
  </si>
  <si>
    <t>Perubahan tersimpan dan tampil pada daftar berita</t>
  </si>
  <si>
    <t>TC-017</t>
  </si>
  <si>
    <t>Admin menghapus berita</t>
  </si>
  <si>
    <t>1. Buka menu Kelola Berita
2. Klik Hapus pada salah satu berita
3. Konfirmasi hapus</t>
  </si>
  <si>
    <t>Dialog konfirmasi tampil; setelah dikonfirmasi berita terhapus dari daftar</t>
  </si>
  <si>
    <t>Berita langsung terhapus tanpa dialog konfirmasi</t>
  </si>
  <si>
    <t>BUG-004</t>
  </si>
  <si>
    <t>TC-018</t>
  </si>
  <si>
    <t>Admin menambah pengumuman dengan data valid</t>
  </si>
  <si>
    <t>1. Buka menu Kelola Pengumuman
2. Klik Tambah
3. Isi judul dan isi pengumuman
4. Klik Simpan</t>
  </si>
  <si>
    <t>Judul: Jadwal Posyandu Juni</t>
  </si>
  <si>
    <t>Pengumuman tersimpan dan tampil pada halaman Pengumuman</t>
  </si>
  <si>
    <t>TC-019</t>
  </si>
  <si>
    <t>Admin mengedit pengumuman</t>
  </si>
  <si>
    <t>Login sebagai admin; pengumuman tersedia</t>
  </si>
  <si>
    <t>1. Buka menu Kelola Pengumuman
2. Klik Edit
3. Ubah isi pengumuman
4. Klik Simpan</t>
  </si>
  <si>
    <t>Isi: jadwal diperbarui</t>
  </si>
  <si>
    <t>Perubahan tersimpan dan tampil pada halaman Pengumuman</t>
  </si>
  <si>
    <t>TC-020</t>
  </si>
  <si>
    <t>Admin menghapus pengumuman</t>
  </si>
  <si>
    <t>1. Buka menu Kelola Pengumuman
2. Klik Hapus
3. Konfirmasi hapus</t>
  </si>
  <si>
    <t>Pengumuman terhapus dari daftar</t>
  </si>
  <si>
    <t>TC-021</t>
  </si>
  <si>
    <t>Admin menambah pengumuman dengan judul sangat panjang</t>
  </si>
  <si>
    <t>1. Buka menu Kelola Pengumuman
2. Klik Tambah
3. Isi judul lebih dari 200 karakter
4. Klik Simpan
5. Buka halaman Pengumuman</t>
  </si>
  <si>
    <t>Judul: 250 karakter tanpa spasi</t>
  </si>
  <si>
    <t>Judul dipotong/wrap dan layout halaman tetap rapi</t>
  </si>
  <si>
    <t>Judul melebihi lebar container sehingga layout bergeser dan tabel pengumuman terpotong</t>
  </si>
  <si>
    <t>BUG-005</t>
  </si>
  <si>
    <t>TC-022</t>
  </si>
  <si>
    <t>User mengajukan surat pengantar KTP dengan data valid</t>
  </si>
  <si>
    <t>Login sebagai user</t>
  </si>
  <si>
    <t>1. Buka menu Surat Pengantar KTP
2. Klik Ajukan Surat
3. Isi form dengan data valid
4. Klik Kirim</t>
  </si>
  <si>
    <t>Nama: Budi Santoso
NIK: 1207010101900001 (dummy)</t>
  </si>
  <si>
    <t>Pengajuan tersimpan dengan status "Menunggu persetujuan"</t>
  </si>
  <si>
    <t>TC-023</t>
  </si>
  <si>
    <t>Pengajuan surat dengan NIK kurang dari 16 digit</t>
  </si>
  <si>
    <t>1. Buka menu Surat Pengantar KTP
2. Klik Ajukan Surat
3. Isi NIK kurang dari 16 digit
4. Klik Kirim</t>
  </si>
  <si>
    <t>NIK: 1207010101 (10 digit)</t>
  </si>
  <si>
    <t>Sistem menolak dan menampilkan pesan "NIK harus 16 digit"</t>
  </si>
  <si>
    <t>Pengajuan berhasil tersimpan dengan NIK 10 digit</t>
  </si>
  <si>
    <t>BUG-006</t>
  </si>
  <si>
    <t>TC-024</t>
  </si>
  <si>
    <t>Pengajuan surat dengan NIK berisi huruf</t>
  </si>
  <si>
    <t>1. Buka menu Surat Pengantar KTP
2. Klik Ajukan Surat
3. Isi NIK dengan huruf dan angka
4. Klik Kirim</t>
  </si>
  <si>
    <t>NIK: 12070101ABCD0001</t>
  </si>
  <si>
    <t>Sistem menolak input NIK non-numerik</t>
  </si>
  <si>
    <t>TC-025</t>
  </si>
  <si>
    <t>User melihat daftar surat pengantar KTP miliknya</t>
  </si>
  <si>
    <t>Login sebagai user; ada pengajuan</t>
  </si>
  <si>
    <t>1. Buka menu Surat Pengantar KTP
2. Lihat daftar pengajuan</t>
  </si>
  <si>
    <t>Daftar pengajuan beserta status tampil sesuai akun user</t>
  </si>
  <si>
    <t>TC-026</t>
  </si>
  <si>
    <t>Admin menyetujui pengajuan surat</t>
  </si>
  <si>
    <t>Login sebagai admin; ada pengajuan berstatus Menunggu</t>
  </si>
  <si>
    <t>1. Buka menu Surat Pengantar KTP
2. Pilih pengajuan
3. Klik Setujui</t>
  </si>
  <si>
    <t>Status berubah menjadi "Disetujui" dan pengajuan masuk daftar approve</t>
  </si>
  <si>
    <t>TC-027</t>
  </si>
  <si>
    <t>Admin menolak pengajuan surat</t>
  </si>
  <si>
    <t>1. Buka menu Surat Pengantar KTP
2. Pilih pengajuan
3. Klik Tolak</t>
  </si>
  <si>
    <t>Status berubah menjadi "Ditolak" dan pengajuan masuk daftar reject</t>
  </si>
  <si>
    <t>TC-028</t>
  </si>
  <si>
    <t>Admin melihat daftar surat yang disetujui</t>
  </si>
  <si>
    <t>1. Buka menu Approve Surat</t>
  </si>
  <si>
    <t>Daftar surat berstatus Disetujui tampil lengkap</t>
  </si>
  <si>
    <t>TC-029</t>
  </si>
  <si>
    <t>Admin melihat daftar surat yang ditolak</t>
  </si>
  <si>
    <t>1. Buka menu Reject Surat</t>
  </si>
  <si>
    <t>Daftar surat berstatus Ditolak tampil lengkap</t>
  </si>
  <si>
    <t>TC-030</t>
  </si>
  <si>
    <t>Pengunjung mengirim saran dengan data valid</t>
  </si>
  <si>
    <t>1. Buka halaman Saran
2. Isi nama dan pesan saran
3. Klik Kirim</t>
  </si>
  <si>
    <t>Pesan: Mohon jalan dusun II diperbaiki</t>
  </si>
  <si>
    <t>Saran tersimpan dan sistem menampilkan notifikasi berhasil</t>
  </si>
  <si>
    <t>TC-031</t>
  </si>
  <si>
    <t>Pengunjung mengirim saran berisi script HTML</t>
  </si>
  <si>
    <t>Login admin tersedia untuk verifikasi</t>
  </si>
  <si>
    <t>1. Buka halaman Saran sebagai guest
2. Isi pesan dengan tag script
3. Klik Kirim
4. Login sebagai admin dan buka Kelola Saran</t>
  </si>
  <si>
    <t>Pesan: &lt;script&gt;alert('XSS')&lt;/script&gt;</t>
  </si>
  <si>
    <t>Input disanitasi dan tampil sebagai teks biasa; script tidak dieksekusi</t>
  </si>
  <si>
    <t>Popup alert 'XSS' muncul setiap admin membuka halaman Kelola Saran (script tereksekusi)</t>
  </si>
  <si>
    <t>BUG-007</t>
  </si>
  <si>
    <t>TC-032</t>
  </si>
  <si>
    <t>Admin melihat daftar saran</t>
  </si>
  <si>
    <t>1. Buka menu Kelola Saran</t>
  </si>
  <si>
    <t>Daftar saran tampil lengkap</t>
  </si>
  <si>
    <t>TC-033</t>
  </si>
  <si>
    <t>Admin mengedit saran</t>
  </si>
  <si>
    <t>Login sebagai admin; saran tersedia</t>
  </si>
  <si>
    <t>1. Buka menu Kelola Saran
2. Klik Edit
3. Ubah isi saran
4. Klik Simpan</t>
  </si>
  <si>
    <t>Perubahan tersimpan</t>
  </si>
  <si>
    <t>TC-034</t>
  </si>
  <si>
    <t>Admin menghapus saran</t>
  </si>
  <si>
    <t>1. Buka menu Kelola Saran
2. Klik Hapus
3. Konfirmasi hapus</t>
  </si>
  <si>
    <t>Saran terhapus dari daftar</t>
  </si>
  <si>
    <t>TC-035</t>
  </si>
  <si>
    <t>Admin menambah foto galeri dengan file valid</t>
  </si>
  <si>
    <t>1. Buka menu Kelola Galeri
2. Klik Tambah Foto
3. Pilih file JPG dan isi keterangan
4. Klik Simpan</t>
  </si>
  <si>
    <t>File: kegiatan.jpg (1 MB)</t>
  </si>
  <si>
    <t>Foto tersimpan dan tampil di halaman Galeri</t>
  </si>
  <si>
    <t>TC-036</t>
  </si>
  <si>
    <t>Admin mengunggah foto galeri berukuran lebih dari 5 MB</t>
  </si>
  <si>
    <t>1. Buka menu Kelola Galeri
2. Klik Tambah Foto
3. Pilih file lebih dari 5 MB
4. Klik Simpan</t>
  </si>
  <si>
    <t>File: besar.jpg (8 MB)</t>
  </si>
  <si>
    <t>Sistem menolak dan menampilkan pesan ukuran maksimum file</t>
  </si>
  <si>
    <t>TC-037</t>
  </si>
  <si>
    <t>Admin menghapus foto galeri</t>
  </si>
  <si>
    <t>Login sebagai admin; foto tersedia</t>
  </si>
  <si>
    <t>1. Buka menu Kelola Galeri
2. Klik Hapus
3. Konfirmasi hapus</t>
  </si>
  <si>
    <t>Foto terhapus dari galeri</t>
  </si>
  <si>
    <t>TC-038</t>
  </si>
  <si>
    <t>Logout dari sistem</t>
  </si>
  <si>
    <t>Login sebagai admin/user</t>
  </si>
  <si>
    <t>1. Klik menu Logout</t>
  </si>
  <si>
    <t>Sesi berakhir dan sistem menampilkan halaman Login</t>
  </si>
  <si>
    <t>TC-039</t>
  </si>
  <si>
    <t>Menekan tombol Back browser setelah logout</t>
  </si>
  <si>
    <t>Baru saja logout dari akun admin</t>
  </si>
  <si>
    <t>1. Login sebagai admin
2. Klik Logout
3. Klik tombol Back pada browser</t>
  </si>
  <si>
    <t>Halaman admin tidak dapat diakses; user diarahkan ke halaman Login</t>
  </si>
  <si>
    <t>Halaman dashboard admin masih tampil dari cache browser</t>
  </si>
  <si>
    <t>BUG-008</t>
  </si>
  <si>
    <t>TC-040</t>
  </si>
  <si>
    <t>Guest melihat Profil Desa, Kontak, Visi Misi, dan Struktur Pemerintahan</t>
  </si>
  <si>
    <t>1. Buka menu Profil Desa
2. Buka menu Kontak
3. Buka menu Visi &amp; Misi
4. Buka menu Struktur Pemerintahan</t>
  </si>
  <si>
    <t>Setiap halaman tampil dengan konten yang benar tanpa login</t>
  </si>
  <si>
    <t>TC-041</t>
  </si>
  <si>
    <t>Guest mengakses URL halaman admin langsung tanpa login</t>
  </si>
  <si>
    <t>Belum login</t>
  </si>
  <si>
    <t>1. Buka browser baru
2. Akses URL halaman Kelola Berita secara langsung</t>
  </si>
  <si>
    <t>URL: /admin/berita</t>
  </si>
  <si>
    <t>Guest diarahkan ke halaman Login</t>
  </si>
  <si>
    <t>TC-042</t>
  </si>
  <si>
    <t>User biasa mengakses URL halaman admin</t>
  </si>
  <si>
    <t>Login sebagai user biasa</t>
  </si>
  <si>
    <t>1. Login sebagai user
2. Akses URL halaman Kelola Berita secara langsung</t>
  </si>
  <si>
    <t>Akses ditolak / dialihkan ke halaman Home</t>
  </si>
  <si>
    <t>TC-043</t>
  </si>
  <si>
    <t>Halaman Home, Login, dan Berita pada Google Chrome</t>
  </si>
  <si>
    <t>Google Chrome terpasang</t>
  </si>
  <si>
    <t>1. Buka website di Chrome
2. Cek tampilan Home
3. Lakukan login
4. Buka halaman Berita</t>
  </si>
  <si>
    <t>Browser: Google Chrome</t>
  </si>
  <si>
    <t>Tampilan konsisten dan semua fungsi berjalan</t>
  </si>
  <si>
    <t>TC-044</t>
  </si>
  <si>
    <t>Halaman Home, Login, dan Berita pada Mozilla Firefox</t>
  </si>
  <si>
    <t>Mozilla Firefox terpasang</t>
  </si>
  <si>
    <t>1. Buka website di Firefox
2. Cek tampilan Home
3. Lakukan login
4. Buka halaman Berita</t>
  </si>
  <si>
    <t>Browser: Mozilla Firefox</t>
  </si>
  <si>
    <t>TC-045</t>
  </si>
  <si>
    <t>Halaman Home, Login, dan Berita pada Microsoft Edge</t>
  </si>
  <si>
    <t>Microsoft Edge terpasang</t>
  </si>
  <si>
    <t>1. Buka website di Edge
2. Cek tampilan Home
3. Lakukan login
4. Buka halaman Berita</t>
  </si>
  <si>
    <t>Browser: Microsoft Edge</t>
  </si>
  <si>
    <t>Bug Report – Sistem Informasi Desa Pangombusan</t>
  </si>
  <si>
    <t>Lifecycle: Open → Fixed → Closed | Reopened jika retest gagal  |  Evidence: nama file screenshot di folder /Evidence</t>
  </si>
  <si>
    <t>Bug Title</t>
  </si>
  <si>
    <t>Related TC</t>
  </si>
  <si>
    <t>Severity</t>
  </si>
  <si>
    <t>Steps to Reproduce</t>
  </si>
  <si>
    <t>Reported By</t>
  </si>
  <si>
    <t>Reported Date</t>
  </si>
  <si>
    <t>Assigned To</t>
  </si>
  <si>
    <t>Retest Date</t>
  </si>
  <si>
    <t>Remarks</t>
  </si>
  <si>
    <t>Pesan error database tampil ke user saat registrasi dengan email yang sudah terdaftar</t>
  </si>
  <si>
    <t>Closed</t>
  </si>
  <si>
    <t>Windows 11 / Chrome / Apache + MySQL</t>
  </si>
  <si>
    <t>1. Buka halaman Registrasi
2. Isi form dengan email yang sudah terdaftar (budi.santoso@mail.com)
3. Klik tombol Daftar</t>
  </si>
  <si>
    <t>Sistem menampilkan pesan "Email sudah terdaftar" dan tetap di halaman Registrasi</t>
  </si>
  <si>
    <t>Muncul halaman error: "Duplicate entry 'budi.santoso@mail.com' for key 'email'" (informasi struktur database terekspos)</t>
  </si>
  <si>
    <t>Developer</t>
  </si>
  <si>
    <t>Fixed oleh developer: ditambahkan pengecekan email sebelum insert. Retest 09 Jun: Pass.</t>
  </si>
  <si>
    <t>Sistem menerima password 1 karakter saat registrasi</t>
  </si>
  <si>
    <t>1. Buka halaman Registrasi
2. Isi data valid dengan password "1"
3. Klik tombol Daftar</t>
  </si>
  <si>
    <t>Sistem menolak dengan pesan "Password minimal 8 karakter"</t>
  </si>
  <si>
    <t>Akun berhasil dibuat dengan password 1 karakter</t>
  </si>
  <si>
    <t>Validasi panjang password ditambahkan. Retest 09 Jun: Pass.</t>
  </si>
  <si>
    <t>Upload berita menerima file non-gambar (PDF)</t>
  </si>
  <si>
    <t>Open</t>
  </si>
  <si>
    <t>1. Login sebagai admin
2. Buka Kelola Berita &gt; Tambah Berita
3. Isi judul dan isi, unggah file berita.pdf pada field gambar
4. Klik Simpan
5. Buka halaman Home</t>
  </si>
  <si>
    <t>File ditolak dengan pesan "File harus berupa gambar (JPG/PNG)"</t>
  </si>
  <si>
    <t>Berita tersimpan dan thumbnail di Home tampil sebagai broken image</t>
  </si>
  <si>
    <t>Perlu validasi tipe file (ekstensi dan MIME type) di sisi server.</t>
  </si>
  <si>
    <t>Berita terhapus tanpa dialog konfirmasi</t>
  </si>
  <si>
    <t>1. Login sebagai admin
2. Buka Kelola Berita
3. Klik tombol Hapus pada salah satu berita</t>
  </si>
  <si>
    <t>Dialog konfirmasi tampil sebelum data dihapus</t>
  </si>
  <si>
    <t>Berita langsung terhapus tanpa konfirmasi</t>
  </si>
  <si>
    <t>Dialog konfirmasi ditambahkan. Retest 09 Jun: Pass.</t>
  </si>
  <si>
    <t>Judul pengumuman panjang merusak layout halaman Pengumuman</t>
  </si>
  <si>
    <t>1. Login sebagai admin
2. Tambah pengumuman dengan judul 250 karakter tanpa spasi
3. Klik Simpan
4. Buka halaman Pengumuman</t>
  </si>
  <si>
    <t>Judul dipotong atau dibungkus; layout tetap rapi</t>
  </si>
  <si>
    <t>Judul melebihi lebar container; layout bergeser dan tabel terpotong</t>
  </si>
  <si>
    <t>Saran: terapkan word-break/overflow-wrap pada CSS dan batasi panjang judul.</t>
  </si>
  <si>
    <t>Field NIK pada pengajuan surat KTP menerima kurang dari 16 digit</t>
  </si>
  <si>
    <t>Surat Pengantar KTP</t>
  </si>
  <si>
    <t>Reopened</t>
  </si>
  <si>
    <t>1. Login sebagai user
2. Buka Surat Pengantar KTP &gt; Ajukan Surat
3. Isi NIK dengan 10 digit (1207010101)
4. Klik Kirim</t>
  </si>
  <si>
    <t>Sistem menolak dengan pesan "NIK harus 16 digit"</t>
  </si>
  <si>
    <t>Pengajuan tersimpan dengan NIK 10 digit</t>
  </si>
  <si>
    <t>Retest 09 Jun: NIK 17 digit sudah ditolak, namun NIK 10 digit masih diterima (validasi hanya batas maksimum). Status: Reopened.</t>
  </si>
  <si>
    <t>Stored XSS pada form Saran: script tereksekusi di halaman Kelola Saran admin</t>
  </si>
  <si>
    <t>1. Buka halaman Saran sebagai guest
2. Isi pesan dengan &lt;script&gt;alert('XSS')&lt;/script&gt;
3. Klik Kirim
4. Login sebagai admin dan buka Kelola Saran</t>
  </si>
  <si>
    <t>Input disanitasi/di-escape dan tampil sebagai teks biasa</t>
  </si>
  <si>
    <t>Popup alert muncul setiap kali admin membuka Kelola Saran; script tereksekusi di sesi admin</t>
  </si>
  <si>
    <t>Risiko: pencurian sesi admin. Rekomendasi: escape output (htmlspecialchars) dan sanitasi input.</t>
  </si>
  <si>
    <t>Halaman admin masih dapat dilihat dengan tombol Back setelah logout</t>
  </si>
  <si>
    <t>Fixed</t>
  </si>
  <si>
    <t>User diarahkan ke halaman Login; halaman admin tidak tampil</t>
  </si>
  <si>
    <t>Developer menambahkan header no-cache dan pengecekan sesi. Menunggu retest.</t>
  </si>
  <si>
    <t>Test Summary – Sistem Informasi Desa Pangombusan</t>
  </si>
  <si>
    <t>Seluruh angka dihitung otomatis dari sheet Test Case dan Bug Report</t>
  </si>
  <si>
    <t>1. Hasil Eksekusi Test Case per Modul</t>
  </si>
  <si>
    <t>Not Run</t>
  </si>
  <si>
    <t>Pass Rate</t>
  </si>
  <si>
    <t>TOTAL</t>
  </si>
  <si>
    <t>2. Defect berdasarkan Severity</t>
  </si>
  <si>
    <t>Total</t>
  </si>
  <si>
    <t>Belum Closed</t>
  </si>
  <si>
    <t>3. Defect berdasarkan Status</t>
  </si>
  <si>
    <t>In Progress</t>
  </si>
  <si>
    <t>4. Metrik Utama</t>
  </si>
  <si>
    <t>Total Test Case</t>
  </si>
  <si>
    <t>Total Defect</t>
  </si>
  <si>
    <t>Defect Closure Rate</t>
  </si>
  <si>
    <t>Defect Kritis/High Belum Closed</t>
  </si>
  <si>
    <t>Marshanda Kasih Simangunsong</t>
  </si>
  <si>
    <t>https://drive.google.com/file/d/17U5Qi8IridrwjYqj32izNL5BlYfuMxTQ/view?usp=sharing</t>
  </si>
  <si>
    <t>https://drive.google.com/file/d/1UdRfoFEKHp4ud183ycouITzWUTWYa5T6/view?usp=sharing</t>
  </si>
  <si>
    <t>https://drive.google.com/file/d/13TgHAGv8WrKaIJdHIHrEOprHsJlsLy3Z/view?usp=sharing</t>
  </si>
  <si>
    <t>https://drive.google.com/file/d/1lQMSLJS6qEgKXzV3OyQ00Tnty8Y9REjH/view?usp=sharing</t>
  </si>
  <si>
    <t>https://drive.google.com/file/d/1n9gnTUgtRldUtMUjPUkc0haR-zjA-zcc/view?usp=sharing</t>
  </si>
  <si>
    <t>https://drive.google.com/file/d/1HTeJm9TPfnBqsIBat5LXs_wKY_dTzplm/view?usp=drive_link</t>
  </si>
  <si>
    <t>https://drive.google.com/file/d/1ODZt--cexKM9fUHUMREs8W8cCaxB6UWe/view?usp=drive_link</t>
  </si>
  <si>
    <t>https://drive.google.com/file/d/1qQXsbaHL7iiRTCecvrlzIicvKcVTP_2M/view?usp=drive_link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</si>
</sst>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8"/>
      <color rgb="FF1F3864"/>
      <name val="Arial"/>
      <family val="2"/>
    </font>
    <font>
      <sz val="12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  <font>
      <i/>
      <sz val="9"/>
      <color rgb="FF7F7F7F"/>
      <name val="Arial"/>
      <family val="2"/>
    </font>
    <font>
      <b/>
      <sz val="14"/>
      <color rgb="FF1F3864"/>
      <name val="Arial"/>
      <family val="2"/>
    </font>
    <font>
      <sz val="9"/>
      <color rgb="FF7F7F7F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1" fillId="0" borderId="1" xfId="1" applyBorder="1" applyAlignment="1">
      <alignment vertical="top" wrapText="1"/>
    </xf>
    <xf numFmtId="0" fontId="10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top" wrapText="1"/>
    </xf>
  </cellXfs>
  <cellStyles count="2">
    <cellStyle name="Hipertaut" xfId="1" builtinId="8"/>
    <cellStyle name="Normal" xfId="0" builtinId="0"/>
  </cellStyles>
  <dxfs count="32">
    <dxf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7F6000"/>
        <name val="Arial"/>
        <charset val="1"/>
      </font>
      <fill>
        <patternFill>
          <bgColor rgb="FFFFF2CC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70AD47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 vs Fail per Modul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'Test Summary'!$C$5</c:f>
              <c:strCache>
                <c:ptCount val="1"/>
                <c:pt idx="0">
                  <c:v>Pass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Summary'!$A$6:$A$17</c:f>
              <c:strCache>
                <c:ptCount val="12"/>
                <c:pt idx="0">
                  <c:v>Registrasi</c:v>
                </c:pt>
                <c:pt idx="1">
                  <c:v>Login</c:v>
                </c:pt>
                <c:pt idx="2">
                  <c:v>Kelola Berita</c:v>
                </c:pt>
                <c:pt idx="3">
                  <c:v>Kelola Pengumuman</c:v>
                </c:pt>
                <c:pt idx="4">
                  <c:v>Surat Pengantar KTP – Pengajuan</c:v>
                </c:pt>
                <c:pt idx="5">
                  <c:v>Surat Pengantar KTP – Approval</c:v>
                </c:pt>
                <c:pt idx="6">
                  <c:v>Kelola Saran</c:v>
                </c:pt>
                <c:pt idx="7">
                  <c:v>Kelola Galeri</c:v>
                </c:pt>
                <c:pt idx="8">
                  <c:v>Logout</c:v>
                </c:pt>
                <c:pt idx="9">
                  <c:v>Halaman Publik</c:v>
                </c:pt>
                <c:pt idx="10">
                  <c:v>Kontrol Akses</c:v>
                </c:pt>
                <c:pt idx="11">
                  <c:v>Kompatibilitas Browser</c:v>
                </c:pt>
              </c:strCache>
            </c:strRef>
          </c:cat>
          <c:val>
            <c:numRef>
              <c:f>'Test Summary'!$C$6:$C$17</c:f>
              <c:numCache>
                <c:formatCode>General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4-4C58-930D-FFF3C8ED3DA1}"/>
            </c:ext>
          </c:extLst>
        </c:ser>
        <c:ser>
          <c:idx val="1"/>
          <c:order val="1"/>
          <c:tx>
            <c:strRef>
              <c:f>'Test Summary'!$D$5</c:f>
              <c:strCache>
                <c:ptCount val="1"/>
                <c:pt idx="0">
                  <c:v>Fail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Summary'!$A$6:$A$17</c:f>
              <c:strCache>
                <c:ptCount val="12"/>
                <c:pt idx="0">
                  <c:v>Registrasi</c:v>
                </c:pt>
                <c:pt idx="1">
                  <c:v>Login</c:v>
                </c:pt>
                <c:pt idx="2">
                  <c:v>Kelola Berita</c:v>
                </c:pt>
                <c:pt idx="3">
                  <c:v>Kelola Pengumuman</c:v>
                </c:pt>
                <c:pt idx="4">
                  <c:v>Surat Pengantar KTP – Pengajuan</c:v>
                </c:pt>
                <c:pt idx="5">
                  <c:v>Surat Pengantar KTP – Approval</c:v>
                </c:pt>
                <c:pt idx="6">
                  <c:v>Kelola Saran</c:v>
                </c:pt>
                <c:pt idx="7">
                  <c:v>Kelola Galeri</c:v>
                </c:pt>
                <c:pt idx="8">
                  <c:v>Logout</c:v>
                </c:pt>
                <c:pt idx="9">
                  <c:v>Halaman Publik</c:v>
                </c:pt>
                <c:pt idx="10">
                  <c:v>Kontrol Akses</c:v>
                </c:pt>
                <c:pt idx="11">
                  <c:v>Kompatibilitas Browser</c:v>
                </c:pt>
              </c:strCache>
            </c:strRef>
          </c:cat>
          <c:val>
            <c:numRef>
              <c:f>'Test Summary'!$D$6:$D$17</c:f>
              <c:numCache>
                <c:formatCode>General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4-4C58-930D-FFF3C8ED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009486"/>
        <c:axId val="10312093"/>
      </c:barChart>
      <c:catAx>
        <c:axId val="9900948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12093"/>
        <c:crosses val="autoZero"/>
        <c:auto val="1"/>
        <c:lblAlgn val="ctr"/>
        <c:lblOffset val="100"/>
        <c:noMultiLvlLbl val="0"/>
      </c:catAx>
      <c:valAx>
        <c:axId val="1031209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094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16</xdr:col>
      <xdr:colOff>255960</xdr:colOff>
      <xdr:row>20</xdr:row>
      <xdr:rowOff>151560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QXsbaHL7iiRTCecvrlzIicvKcVTP_2M/view?usp=drive_link" TargetMode="External"/><Relationship Id="rId3" Type="http://schemas.openxmlformats.org/officeDocument/2006/relationships/hyperlink" Target="https://drive.google.com/file/d/13TgHAGv8WrKaIJdHIHrEOprHsJlsLy3Z/view?usp=sharing" TargetMode="External"/><Relationship Id="rId7" Type="http://schemas.openxmlformats.org/officeDocument/2006/relationships/hyperlink" Target="https://drive.google.com/file/d/1ODZt--cexKM9fUHUMREs8W8cCaxB6UWe/view?usp=drive_link" TargetMode="External"/><Relationship Id="rId2" Type="http://schemas.openxmlformats.org/officeDocument/2006/relationships/hyperlink" Target="https://drive.google.com/file/d/1UdRfoFEKHp4ud183ycouITzWUTWYa5T6/view?usp=sharing" TargetMode="External"/><Relationship Id="rId1" Type="http://schemas.openxmlformats.org/officeDocument/2006/relationships/hyperlink" Target="https://drive.google.com/file/d/17U5Qi8IridrwjYqj32izNL5BlYfuMxTQ/view?usp=sharing" TargetMode="External"/><Relationship Id="rId6" Type="http://schemas.openxmlformats.org/officeDocument/2006/relationships/hyperlink" Target="https://drive.google.com/file/d/1HTeJm9TPfnBqsIBat5LXs_wKY_dTzplm/view?usp=drive_link" TargetMode="External"/><Relationship Id="rId5" Type="http://schemas.openxmlformats.org/officeDocument/2006/relationships/hyperlink" Target="https://drive.google.com/file/d/1n9gnTUgtRldUtMUjPUkc0haR-zjA-zcc/view?usp=sharing" TargetMode="External"/><Relationship Id="rId4" Type="http://schemas.openxmlformats.org/officeDocument/2006/relationships/hyperlink" Target="https://drive.google.com/file/d/1lQMSLJS6qEgKXzV3OyQ00Tnty8Y9REjH/view?usp=sharing" TargetMode="External"/><Relationship Id="rId9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32"/>
  <sheetViews>
    <sheetView topLeftCell="A9" zoomScaleNormal="100" workbookViewId="0">
      <selection activeCell="C19" sqref="C19"/>
    </sheetView>
  </sheetViews>
  <sheetFormatPr defaultColWidth="8.6640625" defaultRowHeight="14.4" x14ac:dyDescent="0.3"/>
  <cols>
    <col min="1" max="1" width="3" customWidth="1"/>
    <col min="2" max="2" width="26" customWidth="1"/>
    <col min="3" max="3" width="95" customWidth="1"/>
  </cols>
  <sheetData>
    <row r="2" spans="2:3" ht="22.8" x14ac:dyDescent="0.4">
      <c r="B2" s="1" t="s">
        <v>0</v>
      </c>
    </row>
    <row r="3" spans="2:3" ht="15.6" x14ac:dyDescent="0.3">
      <c r="B3" s="2" t="s">
        <v>1</v>
      </c>
    </row>
    <row r="5" spans="2:3" x14ac:dyDescent="0.3">
      <c r="B5" s="3" t="s">
        <v>2</v>
      </c>
      <c r="C5" s="4" t="s">
        <v>3</v>
      </c>
    </row>
    <row r="6" spans="2:3" x14ac:dyDescent="0.3">
      <c r="B6" s="3" t="s">
        <v>4</v>
      </c>
      <c r="C6" s="4" t="s">
        <v>5</v>
      </c>
    </row>
    <row r="7" spans="2:3" x14ac:dyDescent="0.3">
      <c r="B7" s="3" t="s">
        <v>6</v>
      </c>
      <c r="C7" s="4" t="s">
        <v>7</v>
      </c>
    </row>
    <row r="8" spans="2:3" x14ac:dyDescent="0.3">
      <c r="B8" s="3" t="s">
        <v>8</v>
      </c>
      <c r="C8" s="24" t="s">
        <v>435</v>
      </c>
    </row>
    <row r="9" spans="2:3" x14ac:dyDescent="0.3">
      <c r="B9" s="3" t="s">
        <v>9</v>
      </c>
      <c r="C9" s="4" t="s">
        <v>10</v>
      </c>
    </row>
    <row r="10" spans="2:3" x14ac:dyDescent="0.3">
      <c r="B10" s="3" t="s">
        <v>11</v>
      </c>
      <c r="C10" s="4" t="s">
        <v>12</v>
      </c>
    </row>
    <row r="11" spans="2:3" x14ac:dyDescent="0.3">
      <c r="B11" s="3" t="s">
        <v>13</v>
      </c>
      <c r="C11" s="4" t="s">
        <v>14</v>
      </c>
    </row>
    <row r="12" spans="2:3" x14ac:dyDescent="0.3">
      <c r="B12" s="3" t="s">
        <v>15</v>
      </c>
      <c r="C12" s="4" t="s">
        <v>16</v>
      </c>
    </row>
    <row r="13" spans="2:3" ht="26.4" x14ac:dyDescent="0.3">
      <c r="B13" s="3" t="s">
        <v>17</v>
      </c>
      <c r="C13" s="25" t="s">
        <v>18</v>
      </c>
    </row>
    <row r="14" spans="2:3" x14ac:dyDescent="0.3">
      <c r="B14" s="3" t="s">
        <v>19</v>
      </c>
      <c r="C14" s="4" t="s">
        <v>20</v>
      </c>
    </row>
    <row r="15" spans="2:3" ht="26.4" x14ac:dyDescent="0.3">
      <c r="B15" s="3" t="s">
        <v>21</v>
      </c>
      <c r="C15" s="4" t="s">
        <v>22</v>
      </c>
    </row>
    <row r="17" spans="2:3" x14ac:dyDescent="0.3">
      <c r="B17" s="5" t="s">
        <v>23</v>
      </c>
    </row>
    <row r="18" spans="2:3" x14ac:dyDescent="0.3">
      <c r="B18" s="6" t="s">
        <v>24</v>
      </c>
      <c r="C18" s="4" t="s">
        <v>25</v>
      </c>
    </row>
    <row r="19" spans="2:3" x14ac:dyDescent="0.3">
      <c r="B19" s="6" t="s">
        <v>26</v>
      </c>
      <c r="C19" s="25" t="s">
        <v>27</v>
      </c>
    </row>
    <row r="20" spans="2:3" x14ac:dyDescent="0.3">
      <c r="B20" s="6" t="s">
        <v>28</v>
      </c>
      <c r="C20" s="4" t="s">
        <v>29</v>
      </c>
    </row>
    <row r="21" spans="2:3" x14ac:dyDescent="0.3">
      <c r="B21" s="6" t="s">
        <v>30</v>
      </c>
      <c r="C21" s="4" t="s">
        <v>31</v>
      </c>
    </row>
    <row r="22" spans="2:3" x14ac:dyDescent="0.3">
      <c r="B22" s="6" t="s">
        <v>32</v>
      </c>
      <c r="C22" s="4" t="s">
        <v>33</v>
      </c>
    </row>
    <row r="24" spans="2:3" x14ac:dyDescent="0.3">
      <c r="B24" s="5" t="s">
        <v>34</v>
      </c>
      <c r="C24" s="7" t="s">
        <v>35</v>
      </c>
    </row>
    <row r="26" spans="2:3" x14ac:dyDescent="0.3">
      <c r="B26" s="5" t="s">
        <v>36</v>
      </c>
    </row>
    <row r="27" spans="2:3" x14ac:dyDescent="0.3">
      <c r="B27" s="8" t="s">
        <v>37</v>
      </c>
      <c r="C27" s="7" t="s">
        <v>38</v>
      </c>
    </row>
    <row r="28" spans="2:3" x14ac:dyDescent="0.3">
      <c r="B28" s="8" t="s">
        <v>39</v>
      </c>
      <c r="C28" s="7" t="s">
        <v>40</v>
      </c>
    </row>
    <row r="29" spans="2:3" x14ac:dyDescent="0.3">
      <c r="B29" s="8" t="s">
        <v>41</v>
      </c>
      <c r="C29" s="7" t="s">
        <v>42</v>
      </c>
    </row>
    <row r="30" spans="2:3" x14ac:dyDescent="0.3">
      <c r="B30" s="8" t="s">
        <v>43</v>
      </c>
      <c r="C30" s="7" t="s">
        <v>44</v>
      </c>
    </row>
    <row r="32" spans="2:3" x14ac:dyDescent="0.3">
      <c r="B32" s="9" t="s">
        <v>45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4"/>
  <sheetViews>
    <sheetView tabSelected="1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9" customWidth="1"/>
    <col min="2" max="2" width="26" customWidth="1"/>
    <col min="3" max="3" width="58" customWidth="1"/>
    <col min="4" max="4" width="16" customWidth="1"/>
    <col min="5" max="6" width="10" customWidth="1"/>
    <col min="7" max="8" width="9" customWidth="1"/>
    <col min="9" max="9" width="15" customWidth="1"/>
  </cols>
  <sheetData>
    <row r="1" spans="1:9" ht="17.399999999999999" x14ac:dyDescent="0.3">
      <c r="A1" s="10" t="s">
        <v>46</v>
      </c>
    </row>
    <row r="2" spans="1:9" x14ac:dyDescent="0.3">
      <c r="A2" s="11" t="s">
        <v>47</v>
      </c>
    </row>
    <row r="4" spans="1:9" ht="31.5" customHeight="1" x14ac:dyDescent="0.3">
      <c r="A4" s="12" t="s">
        <v>48</v>
      </c>
      <c r="B4" s="12" t="s">
        <v>49</v>
      </c>
      <c r="C4" s="12" t="s">
        <v>37</v>
      </c>
      <c r="D4" s="12" t="s">
        <v>50</v>
      </c>
      <c r="E4" s="12" t="s">
        <v>32</v>
      </c>
      <c r="F4" s="12" t="s">
        <v>51</v>
      </c>
      <c r="G4" s="12" t="s">
        <v>52</v>
      </c>
      <c r="H4" s="12" t="s">
        <v>53</v>
      </c>
      <c r="I4" s="12" t="s">
        <v>54</v>
      </c>
    </row>
    <row r="5" spans="1:9" ht="26.4" x14ac:dyDescent="0.3">
      <c r="A5" s="13" t="s">
        <v>55</v>
      </c>
      <c r="B5" s="4" t="s">
        <v>56</v>
      </c>
      <c r="C5" s="4" t="s">
        <v>57</v>
      </c>
      <c r="D5" s="13" t="s">
        <v>58</v>
      </c>
      <c r="E5" s="13" t="s">
        <v>26</v>
      </c>
      <c r="F5" s="13">
        <f>COUNTIF('Test Case'!$B:$B,A5)</f>
        <v>5</v>
      </c>
      <c r="G5" s="13">
        <f>COUNTIFS('Test Case'!$B:$B,A5,'Test Case'!$L:$L,"Pass")</f>
        <v>3</v>
      </c>
      <c r="H5" s="13">
        <f>COUNTIFS('Test Case'!$B:$B,A5,'Test Case'!$L:$L,"Fail")</f>
        <v>2</v>
      </c>
      <c r="I5" s="13" t="str">
        <f t="shared" ref="I5:I16" si="0">IF(F5=0,"Not Run",IF(H5&gt;0,"Failed","Passed"))</f>
        <v>Failed</v>
      </c>
    </row>
    <row r="6" spans="1:9" ht="26.4" x14ac:dyDescent="0.3">
      <c r="A6" s="13" t="s">
        <v>59</v>
      </c>
      <c r="B6" s="4" t="s">
        <v>60</v>
      </c>
      <c r="C6" s="4" t="s">
        <v>61</v>
      </c>
      <c r="D6" s="13" t="s">
        <v>62</v>
      </c>
      <c r="E6" s="13" t="s">
        <v>26</v>
      </c>
      <c r="F6" s="13">
        <f>COUNTIF('Test Case'!$B:$B,A6)</f>
        <v>6</v>
      </c>
      <c r="G6" s="13">
        <f>COUNTIFS('Test Case'!$B:$B,A6,'Test Case'!$L:$L,"Pass")</f>
        <v>6</v>
      </c>
      <c r="H6" s="13">
        <f>COUNTIFS('Test Case'!$B:$B,A6,'Test Case'!$L:$L,"Fail")</f>
        <v>0</v>
      </c>
      <c r="I6" s="13" t="str">
        <f t="shared" si="0"/>
        <v>Passed</v>
      </c>
    </row>
    <row r="7" spans="1:9" x14ac:dyDescent="0.3">
      <c r="A7" s="13" t="s">
        <v>63</v>
      </c>
      <c r="B7" s="4" t="s">
        <v>64</v>
      </c>
      <c r="C7" s="4" t="s">
        <v>65</v>
      </c>
      <c r="D7" s="13" t="s">
        <v>66</v>
      </c>
      <c r="E7" s="13" t="s">
        <v>26</v>
      </c>
      <c r="F7" s="13">
        <f>COUNTIF('Test Case'!$B:$B,A7)</f>
        <v>6</v>
      </c>
      <c r="G7" s="13">
        <f>COUNTIFS('Test Case'!$B:$B,A7,'Test Case'!$L:$L,"Pass")</f>
        <v>4</v>
      </c>
      <c r="H7" s="13">
        <f>COUNTIFS('Test Case'!$B:$B,A7,'Test Case'!$L:$L,"Fail")</f>
        <v>2</v>
      </c>
      <c r="I7" s="13" t="str">
        <f t="shared" si="0"/>
        <v>Failed</v>
      </c>
    </row>
    <row r="8" spans="1:9" x14ac:dyDescent="0.3">
      <c r="A8" s="13" t="s">
        <v>67</v>
      </c>
      <c r="B8" s="4" t="s">
        <v>68</v>
      </c>
      <c r="C8" s="4" t="s">
        <v>69</v>
      </c>
      <c r="D8" s="13" t="s">
        <v>70</v>
      </c>
      <c r="E8" s="13" t="s">
        <v>28</v>
      </c>
      <c r="F8" s="13">
        <f>COUNTIF('Test Case'!$B:$B,A8)</f>
        <v>4</v>
      </c>
      <c r="G8" s="13">
        <f>COUNTIFS('Test Case'!$B:$B,A8,'Test Case'!$L:$L,"Pass")</f>
        <v>3</v>
      </c>
      <c r="H8" s="13">
        <f>COUNTIFS('Test Case'!$B:$B,A8,'Test Case'!$L:$L,"Fail")</f>
        <v>1</v>
      </c>
      <c r="I8" s="13" t="str">
        <f t="shared" si="0"/>
        <v>Failed</v>
      </c>
    </row>
    <row r="9" spans="1:9" ht="26.4" x14ac:dyDescent="0.3">
      <c r="A9" s="13" t="s">
        <v>71</v>
      </c>
      <c r="B9" s="4" t="s">
        <v>72</v>
      </c>
      <c r="C9" s="4" t="s">
        <v>73</v>
      </c>
      <c r="D9" s="13" t="s">
        <v>74</v>
      </c>
      <c r="E9" s="13" t="s">
        <v>26</v>
      </c>
      <c r="F9" s="13">
        <f>COUNTIF('Test Case'!$B:$B,A9)</f>
        <v>4</v>
      </c>
      <c r="G9" s="13">
        <f>COUNTIFS('Test Case'!$B:$B,A9,'Test Case'!$L:$L,"Pass")</f>
        <v>3</v>
      </c>
      <c r="H9" s="13">
        <f>COUNTIFS('Test Case'!$B:$B,A9,'Test Case'!$L:$L,"Fail")</f>
        <v>1</v>
      </c>
      <c r="I9" s="13" t="str">
        <f t="shared" si="0"/>
        <v>Failed</v>
      </c>
    </row>
    <row r="10" spans="1:9" ht="26.4" x14ac:dyDescent="0.3">
      <c r="A10" s="13" t="s">
        <v>75</v>
      </c>
      <c r="B10" s="4" t="s">
        <v>76</v>
      </c>
      <c r="C10" s="4" t="s">
        <v>77</v>
      </c>
      <c r="D10" s="13" t="s">
        <v>78</v>
      </c>
      <c r="E10" s="13" t="s">
        <v>26</v>
      </c>
      <c r="F10" s="13">
        <f>COUNTIF('Test Case'!$B:$B,A10)</f>
        <v>4</v>
      </c>
      <c r="G10" s="13">
        <f>COUNTIFS('Test Case'!$B:$B,A10,'Test Case'!$L:$L,"Pass")</f>
        <v>4</v>
      </c>
      <c r="H10" s="13">
        <f>COUNTIFS('Test Case'!$B:$B,A10,'Test Case'!$L:$L,"Fail")</f>
        <v>0</v>
      </c>
      <c r="I10" s="13" t="str">
        <f t="shared" si="0"/>
        <v>Passed</v>
      </c>
    </row>
    <row r="11" spans="1:9" ht="26.4" x14ac:dyDescent="0.3">
      <c r="A11" s="13" t="s">
        <v>79</v>
      </c>
      <c r="B11" s="4" t="s">
        <v>80</v>
      </c>
      <c r="C11" s="4" t="s">
        <v>81</v>
      </c>
      <c r="D11" s="13" t="s">
        <v>82</v>
      </c>
      <c r="E11" s="13" t="s">
        <v>28</v>
      </c>
      <c r="F11" s="13">
        <f>COUNTIF('Test Case'!$B:$B,A11)</f>
        <v>5</v>
      </c>
      <c r="G11" s="13">
        <f>COUNTIFS('Test Case'!$B:$B,A11,'Test Case'!$L:$L,"Pass")</f>
        <v>4</v>
      </c>
      <c r="H11" s="13">
        <f>COUNTIFS('Test Case'!$B:$B,A11,'Test Case'!$L:$L,"Fail")</f>
        <v>1</v>
      </c>
      <c r="I11" s="13" t="str">
        <f t="shared" si="0"/>
        <v>Failed</v>
      </c>
    </row>
    <row r="12" spans="1:9" x14ac:dyDescent="0.3">
      <c r="A12" s="13" t="s">
        <v>83</v>
      </c>
      <c r="B12" s="4" t="s">
        <v>84</v>
      </c>
      <c r="C12" s="4" t="s">
        <v>85</v>
      </c>
      <c r="D12" s="13" t="s">
        <v>86</v>
      </c>
      <c r="E12" s="13" t="s">
        <v>28</v>
      </c>
      <c r="F12" s="13">
        <f>COUNTIF('Test Case'!$B:$B,A12)</f>
        <v>3</v>
      </c>
      <c r="G12" s="13">
        <f>COUNTIFS('Test Case'!$B:$B,A12,'Test Case'!$L:$L,"Pass")</f>
        <v>3</v>
      </c>
      <c r="H12" s="13">
        <f>COUNTIFS('Test Case'!$B:$B,A12,'Test Case'!$L:$L,"Fail")</f>
        <v>0</v>
      </c>
      <c r="I12" s="13" t="str">
        <f t="shared" si="0"/>
        <v>Passed</v>
      </c>
    </row>
    <row r="13" spans="1:9" x14ac:dyDescent="0.3">
      <c r="A13" s="13" t="s">
        <v>87</v>
      </c>
      <c r="B13" s="4" t="s">
        <v>88</v>
      </c>
      <c r="C13" s="4" t="s">
        <v>89</v>
      </c>
      <c r="D13" s="13" t="s">
        <v>90</v>
      </c>
      <c r="E13" s="13" t="s">
        <v>26</v>
      </c>
      <c r="F13" s="13">
        <f>COUNTIF('Test Case'!$B:$B,A13)</f>
        <v>2</v>
      </c>
      <c r="G13" s="13">
        <f>COUNTIFS('Test Case'!$B:$B,A13,'Test Case'!$L:$L,"Pass")</f>
        <v>1</v>
      </c>
      <c r="H13" s="13">
        <f>COUNTIFS('Test Case'!$B:$B,A13,'Test Case'!$L:$L,"Fail")</f>
        <v>1</v>
      </c>
      <c r="I13" s="13" t="str">
        <f t="shared" si="0"/>
        <v>Failed</v>
      </c>
    </row>
    <row r="14" spans="1:9" ht="26.4" x14ac:dyDescent="0.3">
      <c r="A14" s="13" t="s">
        <v>91</v>
      </c>
      <c r="B14" s="4" t="s">
        <v>92</v>
      </c>
      <c r="C14" s="4" t="s">
        <v>93</v>
      </c>
      <c r="D14" s="13" t="s">
        <v>94</v>
      </c>
      <c r="E14" s="13" t="s">
        <v>30</v>
      </c>
      <c r="F14" s="13">
        <f>COUNTIF('Test Case'!$B:$B,A14)</f>
        <v>1</v>
      </c>
      <c r="G14" s="13">
        <f>COUNTIFS('Test Case'!$B:$B,A14,'Test Case'!$L:$L,"Pass")</f>
        <v>1</v>
      </c>
      <c r="H14" s="13">
        <f>COUNTIFS('Test Case'!$B:$B,A14,'Test Case'!$L:$L,"Fail")</f>
        <v>0</v>
      </c>
      <c r="I14" s="13" t="str">
        <f t="shared" si="0"/>
        <v>Passed</v>
      </c>
    </row>
    <row r="15" spans="1:9" x14ac:dyDescent="0.3">
      <c r="A15" s="13" t="s">
        <v>95</v>
      </c>
      <c r="B15" s="4" t="s">
        <v>96</v>
      </c>
      <c r="C15" s="4" t="s">
        <v>97</v>
      </c>
      <c r="D15" s="13" t="s">
        <v>62</v>
      </c>
      <c r="E15" s="13" t="s">
        <v>26</v>
      </c>
      <c r="F15" s="13">
        <f>COUNTIF('Test Case'!$B:$B,A15)</f>
        <v>2</v>
      </c>
      <c r="G15" s="13">
        <f>COUNTIFS('Test Case'!$B:$B,A15,'Test Case'!$L:$L,"Pass")</f>
        <v>2</v>
      </c>
      <c r="H15" s="13">
        <f>COUNTIFS('Test Case'!$B:$B,A15,'Test Case'!$L:$L,"Fail")</f>
        <v>0</v>
      </c>
      <c r="I15" s="13" t="str">
        <f t="shared" si="0"/>
        <v>Passed</v>
      </c>
    </row>
    <row r="16" spans="1:9" ht="26.4" x14ac:dyDescent="0.3">
      <c r="A16" s="13" t="s">
        <v>98</v>
      </c>
      <c r="B16" s="4" t="s">
        <v>99</v>
      </c>
      <c r="C16" s="4" t="s">
        <v>100</v>
      </c>
      <c r="D16" s="13" t="s">
        <v>101</v>
      </c>
      <c r="E16" s="13" t="s">
        <v>28</v>
      </c>
      <c r="F16" s="13">
        <f>COUNTIF('Test Case'!$B:$B,A16)</f>
        <v>3</v>
      </c>
      <c r="G16" s="13">
        <f>COUNTIFS('Test Case'!$B:$B,A16,'Test Case'!$L:$L,"Pass")</f>
        <v>3</v>
      </c>
      <c r="H16" s="13">
        <f>COUNTIFS('Test Case'!$B:$B,A16,'Test Case'!$L:$L,"Fail")</f>
        <v>0</v>
      </c>
      <c r="I16" s="13" t="str">
        <f t="shared" si="0"/>
        <v>Passed</v>
      </c>
    </row>
    <row r="17" spans="1:9" x14ac:dyDescent="0.3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3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">
      <c r="A24" s="4"/>
      <c r="B24" s="4"/>
      <c r="C24" s="4"/>
      <c r="D24" s="4"/>
      <c r="E24" s="4"/>
      <c r="F24" s="4"/>
      <c r="G24" s="4"/>
      <c r="H24" s="4"/>
      <c r="I24" s="4"/>
    </row>
  </sheetData>
  <conditionalFormatting sqref="I5:I16">
    <cfRule type="cellIs" dxfId="31" priority="2" operator="equal">
      <formula>"Passed"</formula>
    </cfRule>
    <cfRule type="cellIs" dxfId="30" priority="3" operator="equal">
      <formula>"Failed"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64"/>
  <sheetViews>
    <sheetView zoomScaleNormal="100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K1" sqref="K1"/>
    </sheetView>
  </sheetViews>
  <sheetFormatPr defaultColWidth="8.6640625" defaultRowHeight="14.4" x14ac:dyDescent="0.3"/>
  <cols>
    <col min="1" max="2" width="9" customWidth="1"/>
    <col min="3" max="3" width="22" customWidth="1"/>
    <col min="4" max="4" width="36" customWidth="1"/>
    <col min="5" max="5" width="10" customWidth="1"/>
    <col min="6" max="6" width="9" customWidth="1"/>
    <col min="7" max="7" width="28" customWidth="1"/>
    <col min="8" max="8" width="42" customWidth="1"/>
    <col min="9" max="9" width="32" customWidth="1"/>
    <col min="10" max="11" width="38" customWidth="1"/>
    <col min="12" max="12" width="9" customWidth="1"/>
    <col min="13" max="14" width="10" customWidth="1"/>
    <col min="15" max="15" width="16" customWidth="1"/>
    <col min="16" max="16" width="12" customWidth="1"/>
    <col min="17" max="17" width="16" customWidth="1"/>
  </cols>
  <sheetData>
    <row r="1" spans="1:17" ht="17.399999999999999" x14ac:dyDescent="0.3">
      <c r="A1" s="10" t="s">
        <v>102</v>
      </c>
    </row>
    <row r="2" spans="1:17" x14ac:dyDescent="0.3">
      <c r="A2" s="11" t="s">
        <v>103</v>
      </c>
    </row>
    <row r="4" spans="1:17" ht="31.5" customHeight="1" x14ac:dyDescent="0.3">
      <c r="A4" s="12" t="s">
        <v>104</v>
      </c>
      <c r="B4" s="12" t="s">
        <v>48</v>
      </c>
      <c r="C4" s="12" t="s">
        <v>49</v>
      </c>
      <c r="D4" s="12" t="s">
        <v>39</v>
      </c>
      <c r="E4" s="12" t="s">
        <v>105</v>
      </c>
      <c r="F4" s="12" t="s">
        <v>32</v>
      </c>
      <c r="G4" s="12" t="s">
        <v>106</v>
      </c>
      <c r="H4" s="12" t="s">
        <v>107</v>
      </c>
      <c r="I4" s="12" t="s">
        <v>108</v>
      </c>
      <c r="J4" s="12" t="s">
        <v>109</v>
      </c>
      <c r="K4" s="12" t="s">
        <v>110</v>
      </c>
      <c r="L4" s="12" t="s">
        <v>111</v>
      </c>
      <c r="M4" s="12" t="s">
        <v>112</v>
      </c>
      <c r="N4" s="12" t="s">
        <v>113</v>
      </c>
      <c r="O4" s="12" t="s">
        <v>114</v>
      </c>
      <c r="P4" s="12" t="s">
        <v>9</v>
      </c>
      <c r="Q4" s="28"/>
    </row>
    <row r="5" spans="1:17" ht="52.8" x14ac:dyDescent="0.3">
      <c r="A5" s="13" t="s">
        <v>116</v>
      </c>
      <c r="B5" s="13" t="s">
        <v>55</v>
      </c>
      <c r="C5" s="4" t="str">
        <f>INDEX('Test Scenario'!$B:$B,MATCH(B5,'Test Scenario'!$A:$A,0))</f>
        <v>Registrasi</v>
      </c>
      <c r="D5" s="4" t="s">
        <v>117</v>
      </c>
      <c r="E5" s="13" t="s">
        <v>118</v>
      </c>
      <c r="F5" s="13" t="s">
        <v>26</v>
      </c>
      <c r="G5" s="4" t="s">
        <v>119</v>
      </c>
      <c r="H5" s="4" t="s">
        <v>120</v>
      </c>
      <c r="I5" s="4" t="s">
        <v>121</v>
      </c>
      <c r="J5" s="4" t="s">
        <v>122</v>
      </c>
      <c r="K5" s="4" t="s">
        <v>123</v>
      </c>
      <c r="L5" s="13" t="s">
        <v>124</v>
      </c>
      <c r="M5" s="13"/>
      <c r="N5" s="13"/>
      <c r="O5" s="4" t="str">
        <f>Cover!$C$8</f>
        <v>Marshanda Kasih Simangunsong</v>
      </c>
      <c r="P5" s="14">
        <v>45082</v>
      </c>
      <c r="Q5" s="29"/>
    </row>
    <row r="6" spans="1:17" ht="39.6" x14ac:dyDescent="0.3">
      <c r="A6" s="13" t="s">
        <v>125</v>
      </c>
      <c r="B6" s="13" t="s">
        <v>55</v>
      </c>
      <c r="C6" s="4" t="str">
        <f>INDEX('Test Scenario'!$B:$B,MATCH(B6,'Test Scenario'!$A:$A,0))</f>
        <v>Registrasi</v>
      </c>
      <c r="D6" s="4" t="s">
        <v>126</v>
      </c>
      <c r="E6" s="13" t="s">
        <v>127</v>
      </c>
      <c r="F6" s="13" t="s">
        <v>26</v>
      </c>
      <c r="G6" s="4" t="s">
        <v>128</v>
      </c>
      <c r="H6" s="4" t="s">
        <v>129</v>
      </c>
      <c r="I6" s="4" t="s">
        <v>130</v>
      </c>
      <c r="J6" s="4" t="s">
        <v>131</v>
      </c>
      <c r="K6" s="4" t="s">
        <v>132</v>
      </c>
      <c r="L6" s="13" t="s">
        <v>133</v>
      </c>
      <c r="M6" s="13" t="s">
        <v>134</v>
      </c>
      <c r="N6" s="13" t="s">
        <v>124</v>
      </c>
      <c r="O6" s="4" t="str">
        <f>Cover!$C$8</f>
        <v>Marshanda Kasih Simangunsong</v>
      </c>
      <c r="P6" s="14">
        <v>45082</v>
      </c>
      <c r="Q6" s="29"/>
    </row>
    <row r="7" spans="1:17" ht="39.6" x14ac:dyDescent="0.3">
      <c r="A7" s="13" t="s">
        <v>135</v>
      </c>
      <c r="B7" s="13" t="s">
        <v>55</v>
      </c>
      <c r="C7" s="4" t="str">
        <f>INDEX('Test Scenario'!$B:$B,MATCH(B7,'Test Scenario'!$A:$A,0))</f>
        <v>Registrasi</v>
      </c>
      <c r="D7" s="4" t="s">
        <v>136</v>
      </c>
      <c r="E7" s="13" t="s">
        <v>127</v>
      </c>
      <c r="F7" s="13" t="s">
        <v>28</v>
      </c>
      <c r="G7" s="4" t="s">
        <v>137</v>
      </c>
      <c r="H7" s="4" t="s">
        <v>138</v>
      </c>
      <c r="I7" s="4" t="s">
        <v>139</v>
      </c>
      <c r="J7" s="4" t="s">
        <v>140</v>
      </c>
      <c r="K7" s="4" t="s">
        <v>123</v>
      </c>
      <c r="L7" s="13" t="s">
        <v>124</v>
      </c>
      <c r="M7" s="13"/>
      <c r="N7" s="13"/>
      <c r="O7" s="4" t="str">
        <f>Cover!$C$8</f>
        <v>Marshanda Kasih Simangunsong</v>
      </c>
      <c r="P7" s="14">
        <v>45082</v>
      </c>
      <c r="Q7" s="29"/>
    </row>
    <row r="8" spans="1:17" ht="39.6" x14ac:dyDescent="0.3">
      <c r="A8" s="13" t="s">
        <v>141</v>
      </c>
      <c r="B8" s="13" t="s">
        <v>55</v>
      </c>
      <c r="C8" s="4" t="str">
        <f>INDEX('Test Scenario'!$B:$B,MATCH(B8,'Test Scenario'!$A:$A,0))</f>
        <v>Registrasi</v>
      </c>
      <c r="D8" s="4" t="s">
        <v>142</v>
      </c>
      <c r="E8" s="13" t="s">
        <v>127</v>
      </c>
      <c r="F8" s="13" t="s">
        <v>28</v>
      </c>
      <c r="G8" s="4" t="s">
        <v>137</v>
      </c>
      <c r="H8" s="4" t="s">
        <v>143</v>
      </c>
      <c r="I8" s="4" t="s">
        <v>144</v>
      </c>
      <c r="J8" s="4" t="s">
        <v>145</v>
      </c>
      <c r="K8" s="4" t="s">
        <v>123</v>
      </c>
      <c r="L8" s="13" t="s">
        <v>124</v>
      </c>
      <c r="M8" s="13"/>
      <c r="N8" s="13"/>
      <c r="O8" s="4" t="str">
        <f>Cover!$C$8</f>
        <v>Marshanda Kasih Simangunsong</v>
      </c>
      <c r="P8" s="14">
        <v>45082</v>
      </c>
      <c r="Q8" s="29"/>
    </row>
    <row r="9" spans="1:17" ht="39.6" x14ac:dyDescent="0.3">
      <c r="A9" s="13" t="s">
        <v>146</v>
      </c>
      <c r="B9" s="13" t="s">
        <v>55</v>
      </c>
      <c r="C9" s="4" t="str">
        <f>INDEX('Test Scenario'!$B:$B,MATCH(B9,'Test Scenario'!$A:$A,0))</f>
        <v>Registrasi</v>
      </c>
      <c r="D9" s="4" t="s">
        <v>147</v>
      </c>
      <c r="E9" s="13" t="s">
        <v>127</v>
      </c>
      <c r="F9" s="13" t="s">
        <v>28</v>
      </c>
      <c r="G9" s="4" t="s">
        <v>137</v>
      </c>
      <c r="H9" s="4" t="s">
        <v>148</v>
      </c>
      <c r="I9" s="4" t="s">
        <v>149</v>
      </c>
      <c r="J9" s="4" t="s">
        <v>150</v>
      </c>
      <c r="K9" s="4" t="s">
        <v>151</v>
      </c>
      <c r="L9" s="13" t="s">
        <v>133</v>
      </c>
      <c r="M9" s="13" t="s">
        <v>152</v>
      </c>
      <c r="N9" s="13" t="s">
        <v>124</v>
      </c>
      <c r="O9" s="4" t="str">
        <f>Cover!$C$8</f>
        <v>Marshanda Kasih Simangunsong</v>
      </c>
      <c r="P9" s="14">
        <v>45082</v>
      </c>
      <c r="Q9" s="29"/>
    </row>
    <row r="10" spans="1:17" ht="39.6" x14ac:dyDescent="0.3">
      <c r="A10" s="13" t="s">
        <v>153</v>
      </c>
      <c r="B10" s="13" t="s">
        <v>59</v>
      </c>
      <c r="C10" s="4" t="str">
        <f>INDEX('Test Scenario'!$B:$B,MATCH(B10,'Test Scenario'!$A:$A,0))</f>
        <v>Login</v>
      </c>
      <c r="D10" s="4" t="s">
        <v>154</v>
      </c>
      <c r="E10" s="13" t="s">
        <v>118</v>
      </c>
      <c r="F10" s="13" t="s">
        <v>26</v>
      </c>
      <c r="G10" s="4" t="s">
        <v>155</v>
      </c>
      <c r="H10" s="4" t="s">
        <v>156</v>
      </c>
      <c r="I10" s="4" t="s">
        <v>157</v>
      </c>
      <c r="J10" s="4" t="s">
        <v>158</v>
      </c>
      <c r="K10" s="4" t="s">
        <v>123</v>
      </c>
      <c r="L10" s="13" t="s">
        <v>124</v>
      </c>
      <c r="M10" s="13"/>
      <c r="N10" s="13"/>
      <c r="O10" s="4" t="str">
        <f>Cover!$C$8</f>
        <v>Marshanda Kasih Simangunsong</v>
      </c>
      <c r="P10" s="14">
        <v>45082</v>
      </c>
      <c r="Q10" s="29"/>
    </row>
    <row r="11" spans="1:17" ht="39.6" x14ac:dyDescent="0.3">
      <c r="A11" s="13" t="s">
        <v>159</v>
      </c>
      <c r="B11" s="13" t="s">
        <v>59</v>
      </c>
      <c r="C11" s="4" t="str">
        <f>INDEX('Test Scenario'!$B:$B,MATCH(B11,'Test Scenario'!$A:$A,0))</f>
        <v>Login</v>
      </c>
      <c r="D11" s="4" t="s">
        <v>160</v>
      </c>
      <c r="E11" s="13" t="s">
        <v>118</v>
      </c>
      <c r="F11" s="13" t="s">
        <v>26</v>
      </c>
      <c r="G11" s="4" t="s">
        <v>161</v>
      </c>
      <c r="H11" s="4" t="s">
        <v>162</v>
      </c>
      <c r="I11" s="4" t="s">
        <v>163</v>
      </c>
      <c r="J11" s="4" t="s">
        <v>158</v>
      </c>
      <c r="K11" s="4" t="s">
        <v>123</v>
      </c>
      <c r="L11" s="13" t="s">
        <v>124</v>
      </c>
      <c r="M11" s="13"/>
      <c r="N11" s="13"/>
      <c r="O11" s="4" t="str">
        <f>Cover!$C$8</f>
        <v>Marshanda Kasih Simangunsong</v>
      </c>
      <c r="P11" s="14">
        <v>45082</v>
      </c>
      <c r="Q11" s="29"/>
    </row>
    <row r="12" spans="1:17" ht="39.6" x14ac:dyDescent="0.3">
      <c r="A12" s="13" t="s">
        <v>164</v>
      </c>
      <c r="B12" s="13" t="s">
        <v>59</v>
      </c>
      <c r="C12" s="4" t="str">
        <f>INDEX('Test Scenario'!$B:$B,MATCH(B12,'Test Scenario'!$A:$A,0))</f>
        <v>Login</v>
      </c>
      <c r="D12" s="4" t="s">
        <v>165</v>
      </c>
      <c r="E12" s="13" t="s">
        <v>127</v>
      </c>
      <c r="F12" s="13" t="s">
        <v>28</v>
      </c>
      <c r="G12" s="4" t="s">
        <v>137</v>
      </c>
      <c r="H12" s="4" t="s">
        <v>166</v>
      </c>
      <c r="I12" s="4" t="s">
        <v>139</v>
      </c>
      <c r="J12" s="4" t="s">
        <v>167</v>
      </c>
      <c r="K12" s="4" t="s">
        <v>123</v>
      </c>
      <c r="L12" s="13" t="s">
        <v>124</v>
      </c>
      <c r="M12" s="13"/>
      <c r="N12" s="13"/>
      <c r="O12" s="4" t="str">
        <f>Cover!$C$8</f>
        <v>Marshanda Kasih Simangunsong</v>
      </c>
      <c r="P12" s="14">
        <v>45082</v>
      </c>
      <c r="Q12" s="29"/>
    </row>
    <row r="13" spans="1:17" ht="52.8" x14ac:dyDescent="0.3">
      <c r="A13" s="13" t="s">
        <v>168</v>
      </c>
      <c r="B13" s="13" t="s">
        <v>59</v>
      </c>
      <c r="C13" s="4" t="str">
        <f>INDEX('Test Scenario'!$B:$B,MATCH(B13,'Test Scenario'!$A:$A,0))</f>
        <v>Login</v>
      </c>
      <c r="D13" s="4" t="s">
        <v>169</v>
      </c>
      <c r="E13" s="13" t="s">
        <v>127</v>
      </c>
      <c r="F13" s="13" t="s">
        <v>26</v>
      </c>
      <c r="G13" s="4" t="s">
        <v>137</v>
      </c>
      <c r="H13" s="4" t="s">
        <v>170</v>
      </c>
      <c r="I13" s="4" t="s">
        <v>171</v>
      </c>
      <c r="J13" s="4" t="s">
        <v>172</v>
      </c>
      <c r="K13" s="4" t="s">
        <v>123</v>
      </c>
      <c r="L13" s="13" t="s">
        <v>124</v>
      </c>
      <c r="M13" s="13"/>
      <c r="N13" s="13"/>
      <c r="O13" s="4" t="str">
        <f>Cover!$C$8</f>
        <v>Marshanda Kasih Simangunsong</v>
      </c>
      <c r="P13" s="14">
        <v>45082</v>
      </c>
      <c r="Q13" s="29"/>
    </row>
    <row r="14" spans="1:17" ht="39.6" x14ac:dyDescent="0.3">
      <c r="A14" s="13" t="s">
        <v>173</v>
      </c>
      <c r="B14" s="13" t="s">
        <v>59</v>
      </c>
      <c r="C14" s="4" t="str">
        <f>INDEX('Test Scenario'!$B:$B,MATCH(B14,'Test Scenario'!$A:$A,0))</f>
        <v>Login</v>
      </c>
      <c r="D14" s="4" t="s">
        <v>174</v>
      </c>
      <c r="E14" s="13" t="s">
        <v>127</v>
      </c>
      <c r="F14" s="13" t="s">
        <v>26</v>
      </c>
      <c r="G14" s="4" t="s">
        <v>137</v>
      </c>
      <c r="H14" s="4" t="s">
        <v>175</v>
      </c>
      <c r="I14" s="4" t="s">
        <v>176</v>
      </c>
      <c r="J14" s="4" t="s">
        <v>172</v>
      </c>
      <c r="K14" s="4" t="s">
        <v>123</v>
      </c>
      <c r="L14" s="13" t="s">
        <v>124</v>
      </c>
      <c r="M14" s="13"/>
      <c r="N14" s="13"/>
      <c r="O14" s="4" t="str">
        <f>Cover!$C$8</f>
        <v>Marshanda Kasih Simangunsong</v>
      </c>
      <c r="P14" s="14">
        <v>45082</v>
      </c>
      <c r="Q14" s="29"/>
    </row>
    <row r="15" spans="1:17" ht="39.6" x14ac:dyDescent="0.3">
      <c r="A15" s="13" t="s">
        <v>177</v>
      </c>
      <c r="B15" s="13" t="s">
        <v>59</v>
      </c>
      <c r="C15" s="4" t="str">
        <f>INDEX('Test Scenario'!$B:$B,MATCH(B15,'Test Scenario'!$A:$A,0))</f>
        <v>Login</v>
      </c>
      <c r="D15" s="4" t="s">
        <v>178</v>
      </c>
      <c r="E15" s="13" t="s">
        <v>127</v>
      </c>
      <c r="F15" s="13" t="s">
        <v>26</v>
      </c>
      <c r="G15" s="4" t="s">
        <v>137</v>
      </c>
      <c r="H15" s="4" t="s">
        <v>179</v>
      </c>
      <c r="I15" s="4" t="s">
        <v>180</v>
      </c>
      <c r="J15" s="4" t="s">
        <v>172</v>
      </c>
      <c r="K15" s="4" t="s">
        <v>123</v>
      </c>
      <c r="L15" s="13" t="s">
        <v>124</v>
      </c>
      <c r="M15" s="13"/>
      <c r="N15" s="13"/>
      <c r="O15" s="4" t="str">
        <f>Cover!$C$8</f>
        <v>Marshanda Kasih Simangunsong</v>
      </c>
      <c r="P15" s="14">
        <v>45082</v>
      </c>
      <c r="Q15" s="29"/>
    </row>
    <row r="16" spans="1:17" ht="26.4" x14ac:dyDescent="0.3">
      <c r="A16" s="13" t="s">
        <v>181</v>
      </c>
      <c r="B16" s="13" t="s">
        <v>63</v>
      </c>
      <c r="C16" s="4" t="str">
        <f>INDEX('Test Scenario'!$B:$B,MATCH(B16,'Test Scenario'!$A:$A,0))</f>
        <v>Kelola Berita</v>
      </c>
      <c r="D16" s="4" t="s">
        <v>182</v>
      </c>
      <c r="E16" s="13" t="s">
        <v>118</v>
      </c>
      <c r="F16" s="13" t="s">
        <v>28</v>
      </c>
      <c r="G16" s="4" t="s">
        <v>183</v>
      </c>
      <c r="H16" s="4" t="s">
        <v>184</v>
      </c>
      <c r="I16" s="4" t="s">
        <v>185</v>
      </c>
      <c r="J16" s="4" t="s">
        <v>186</v>
      </c>
      <c r="K16" s="4" t="s">
        <v>123</v>
      </c>
      <c r="L16" s="13" t="s">
        <v>124</v>
      </c>
      <c r="M16" s="13"/>
      <c r="N16" s="13"/>
      <c r="O16" s="4" t="str">
        <f>Cover!$C$8</f>
        <v>Marshanda Kasih Simangunsong</v>
      </c>
      <c r="P16" s="14">
        <v>45082</v>
      </c>
      <c r="Q16" s="29"/>
    </row>
    <row r="17" spans="1:17" ht="52.8" x14ac:dyDescent="0.3">
      <c r="A17" s="13" t="s">
        <v>187</v>
      </c>
      <c r="B17" s="13" t="s">
        <v>63</v>
      </c>
      <c r="C17" s="4" t="str">
        <f>INDEX('Test Scenario'!$B:$B,MATCH(B17,'Test Scenario'!$A:$A,0))</f>
        <v>Kelola Berita</v>
      </c>
      <c r="D17" s="4" t="s">
        <v>188</v>
      </c>
      <c r="E17" s="13" t="s">
        <v>118</v>
      </c>
      <c r="F17" s="13" t="s">
        <v>26</v>
      </c>
      <c r="G17" s="4" t="s">
        <v>189</v>
      </c>
      <c r="H17" s="4" t="s">
        <v>190</v>
      </c>
      <c r="I17" s="4" t="s">
        <v>191</v>
      </c>
      <c r="J17" s="4" t="s">
        <v>192</v>
      </c>
      <c r="K17" s="4" t="s">
        <v>123</v>
      </c>
      <c r="L17" s="13" t="s">
        <v>124</v>
      </c>
      <c r="M17" s="13"/>
      <c r="N17" s="13"/>
      <c r="O17" s="4" t="str">
        <f>Cover!$C$8</f>
        <v>Marshanda Kasih Simangunsong</v>
      </c>
      <c r="P17" s="14">
        <v>45082</v>
      </c>
      <c r="Q17" s="29"/>
    </row>
    <row r="18" spans="1:17" ht="66" x14ac:dyDescent="0.3">
      <c r="A18" s="13" t="s">
        <v>193</v>
      </c>
      <c r="B18" s="13" t="s">
        <v>63</v>
      </c>
      <c r="C18" s="4" t="str">
        <f>INDEX('Test Scenario'!$B:$B,MATCH(B18,'Test Scenario'!$A:$A,0))</f>
        <v>Kelola Berita</v>
      </c>
      <c r="D18" s="4" t="s">
        <v>194</v>
      </c>
      <c r="E18" s="13" t="s">
        <v>127</v>
      </c>
      <c r="F18" s="13" t="s">
        <v>28</v>
      </c>
      <c r="G18" s="4" t="s">
        <v>189</v>
      </c>
      <c r="H18" s="4" t="s">
        <v>195</v>
      </c>
      <c r="I18" s="4" t="s">
        <v>196</v>
      </c>
      <c r="J18" s="4" t="s">
        <v>197</v>
      </c>
      <c r="K18" s="4" t="s">
        <v>198</v>
      </c>
      <c r="L18" s="13" t="s">
        <v>133</v>
      </c>
      <c r="M18" s="13" t="s">
        <v>199</v>
      </c>
      <c r="N18" s="13" t="s">
        <v>124</v>
      </c>
      <c r="O18" s="4" t="str">
        <f>Cover!$C$8</f>
        <v>Marshanda Kasih Simangunsong</v>
      </c>
      <c r="P18" s="14">
        <v>45082</v>
      </c>
      <c r="Q18" s="29"/>
    </row>
    <row r="19" spans="1:17" ht="52.8" x14ac:dyDescent="0.3">
      <c r="A19" s="13" t="s">
        <v>200</v>
      </c>
      <c r="B19" s="13" t="s">
        <v>63</v>
      </c>
      <c r="C19" s="4" t="str">
        <f>INDEX('Test Scenario'!$B:$B,MATCH(B19,'Test Scenario'!$A:$A,0))</f>
        <v>Kelola Berita</v>
      </c>
      <c r="D19" s="4" t="s">
        <v>201</v>
      </c>
      <c r="E19" s="13" t="s">
        <v>127</v>
      </c>
      <c r="F19" s="13" t="s">
        <v>28</v>
      </c>
      <c r="G19" s="4" t="s">
        <v>189</v>
      </c>
      <c r="H19" s="4" t="s">
        <v>202</v>
      </c>
      <c r="I19" s="4" t="s">
        <v>203</v>
      </c>
      <c r="J19" s="4" t="s">
        <v>204</v>
      </c>
      <c r="K19" s="4" t="s">
        <v>123</v>
      </c>
      <c r="L19" s="13" t="s">
        <v>124</v>
      </c>
      <c r="M19" s="13"/>
      <c r="N19" s="13"/>
      <c r="O19" s="4" t="str">
        <f>Cover!$C$8</f>
        <v>Marshanda Kasih Simangunsong</v>
      </c>
      <c r="P19" s="14">
        <v>45082</v>
      </c>
      <c r="Q19" s="29"/>
    </row>
    <row r="20" spans="1:17" ht="52.8" x14ac:dyDescent="0.3">
      <c r="A20" s="13" t="s">
        <v>205</v>
      </c>
      <c r="B20" s="13" t="s">
        <v>63</v>
      </c>
      <c r="C20" s="4" t="str">
        <f>INDEX('Test Scenario'!$B:$B,MATCH(B20,'Test Scenario'!$A:$A,0))</f>
        <v>Kelola Berita</v>
      </c>
      <c r="D20" s="4" t="s">
        <v>206</v>
      </c>
      <c r="E20" s="13" t="s">
        <v>118</v>
      </c>
      <c r="F20" s="13" t="s">
        <v>26</v>
      </c>
      <c r="G20" s="4" t="s">
        <v>207</v>
      </c>
      <c r="H20" s="4" t="s">
        <v>208</v>
      </c>
      <c r="I20" s="4" t="s">
        <v>209</v>
      </c>
      <c r="J20" s="4" t="s">
        <v>210</v>
      </c>
      <c r="K20" s="4" t="s">
        <v>123</v>
      </c>
      <c r="L20" s="13" t="s">
        <v>124</v>
      </c>
      <c r="M20" s="13"/>
      <c r="N20" s="13"/>
      <c r="O20" s="4" t="str">
        <f>Cover!$C$8</f>
        <v>Marshanda Kasih Simangunsong</v>
      </c>
      <c r="P20" s="14">
        <v>45082</v>
      </c>
      <c r="Q20" s="29"/>
    </row>
    <row r="21" spans="1:17" ht="39.6" x14ac:dyDescent="0.3">
      <c r="A21" s="13" t="s">
        <v>211</v>
      </c>
      <c r="B21" s="13" t="s">
        <v>63</v>
      </c>
      <c r="C21" s="4" t="str">
        <f>INDEX('Test Scenario'!$B:$B,MATCH(B21,'Test Scenario'!$A:$A,0))</f>
        <v>Kelola Berita</v>
      </c>
      <c r="D21" s="4" t="s">
        <v>212</v>
      </c>
      <c r="E21" s="13" t="s">
        <v>118</v>
      </c>
      <c r="F21" s="13" t="s">
        <v>26</v>
      </c>
      <c r="G21" s="4" t="s">
        <v>207</v>
      </c>
      <c r="H21" s="4" t="s">
        <v>213</v>
      </c>
      <c r="I21" s="4" t="s">
        <v>185</v>
      </c>
      <c r="J21" s="4" t="s">
        <v>214</v>
      </c>
      <c r="K21" s="4" t="s">
        <v>215</v>
      </c>
      <c r="L21" s="13" t="s">
        <v>133</v>
      </c>
      <c r="M21" s="13" t="s">
        <v>216</v>
      </c>
      <c r="N21" s="13" t="s">
        <v>124</v>
      </c>
      <c r="O21" s="4" t="str">
        <f>Cover!$C$8</f>
        <v>Marshanda Kasih Simangunsong</v>
      </c>
      <c r="P21" s="14">
        <v>45082</v>
      </c>
      <c r="Q21" s="29"/>
    </row>
    <row r="22" spans="1:17" ht="52.8" x14ac:dyDescent="0.3">
      <c r="A22" s="13" t="s">
        <v>217</v>
      </c>
      <c r="B22" s="13" t="s">
        <v>67</v>
      </c>
      <c r="C22" s="4" t="str">
        <f>INDEX('Test Scenario'!$B:$B,MATCH(B22,'Test Scenario'!$A:$A,0))</f>
        <v>Kelola Pengumuman</v>
      </c>
      <c r="D22" s="4" t="s">
        <v>218</v>
      </c>
      <c r="E22" s="13" t="s">
        <v>118</v>
      </c>
      <c r="F22" s="13" t="s">
        <v>28</v>
      </c>
      <c r="G22" s="4" t="s">
        <v>189</v>
      </c>
      <c r="H22" s="4" t="s">
        <v>219</v>
      </c>
      <c r="I22" s="4" t="s">
        <v>220</v>
      </c>
      <c r="J22" s="4" t="s">
        <v>221</v>
      </c>
      <c r="K22" s="4" t="s">
        <v>123</v>
      </c>
      <c r="L22" s="13" t="s">
        <v>124</v>
      </c>
      <c r="M22" s="13"/>
      <c r="N22" s="13"/>
      <c r="O22" s="4" t="str">
        <f>Cover!$C$8</f>
        <v>Marshanda Kasih Simangunsong</v>
      </c>
      <c r="P22" s="14">
        <v>45082</v>
      </c>
      <c r="Q22" s="29"/>
    </row>
    <row r="23" spans="1:17" ht="52.8" x14ac:dyDescent="0.3">
      <c r="A23" s="13" t="s">
        <v>222</v>
      </c>
      <c r="B23" s="13" t="s">
        <v>67</v>
      </c>
      <c r="C23" s="4" t="str">
        <f>INDEX('Test Scenario'!$B:$B,MATCH(B23,'Test Scenario'!$A:$A,0))</f>
        <v>Kelola Pengumuman</v>
      </c>
      <c r="D23" s="4" t="s">
        <v>223</v>
      </c>
      <c r="E23" s="13" t="s">
        <v>118</v>
      </c>
      <c r="F23" s="13" t="s">
        <v>28</v>
      </c>
      <c r="G23" s="4" t="s">
        <v>224</v>
      </c>
      <c r="H23" s="4" t="s">
        <v>225</v>
      </c>
      <c r="I23" s="4" t="s">
        <v>226</v>
      </c>
      <c r="J23" s="4" t="s">
        <v>227</v>
      </c>
      <c r="K23" s="4" t="s">
        <v>123</v>
      </c>
      <c r="L23" s="13" t="s">
        <v>124</v>
      </c>
      <c r="M23" s="13"/>
      <c r="N23" s="13"/>
      <c r="O23" s="4" t="str">
        <f>Cover!$C$8</f>
        <v>Marshanda Kasih Simangunsong</v>
      </c>
      <c r="P23" s="14">
        <v>45082</v>
      </c>
      <c r="Q23" s="29"/>
    </row>
    <row r="24" spans="1:17" ht="39.6" x14ac:dyDescent="0.3">
      <c r="A24" s="13" t="s">
        <v>228</v>
      </c>
      <c r="B24" s="13" t="s">
        <v>67</v>
      </c>
      <c r="C24" s="4" t="str">
        <f>INDEX('Test Scenario'!$B:$B,MATCH(B24,'Test Scenario'!$A:$A,0))</f>
        <v>Kelola Pengumuman</v>
      </c>
      <c r="D24" s="4" t="s">
        <v>229</v>
      </c>
      <c r="E24" s="13" t="s">
        <v>118</v>
      </c>
      <c r="F24" s="13" t="s">
        <v>28</v>
      </c>
      <c r="G24" s="4" t="s">
        <v>224</v>
      </c>
      <c r="H24" s="4" t="s">
        <v>230</v>
      </c>
      <c r="I24" s="4" t="s">
        <v>185</v>
      </c>
      <c r="J24" s="4" t="s">
        <v>231</v>
      </c>
      <c r="K24" s="4" t="s">
        <v>123</v>
      </c>
      <c r="L24" s="13" t="s">
        <v>124</v>
      </c>
      <c r="M24" s="13"/>
      <c r="N24" s="13"/>
      <c r="O24" s="4" t="str">
        <f>Cover!$C$8</f>
        <v>Marshanda Kasih Simangunsong</v>
      </c>
      <c r="P24" s="14">
        <v>45082</v>
      </c>
      <c r="Q24" s="29"/>
    </row>
    <row r="25" spans="1:17" ht="66" x14ac:dyDescent="0.3">
      <c r="A25" s="13" t="s">
        <v>232</v>
      </c>
      <c r="B25" s="13" t="s">
        <v>67</v>
      </c>
      <c r="C25" s="4" t="str">
        <f>INDEX('Test Scenario'!$B:$B,MATCH(B25,'Test Scenario'!$A:$A,0))</f>
        <v>Kelola Pengumuman</v>
      </c>
      <c r="D25" s="4" t="s">
        <v>233</v>
      </c>
      <c r="E25" s="13" t="s">
        <v>127</v>
      </c>
      <c r="F25" s="13" t="s">
        <v>30</v>
      </c>
      <c r="G25" s="4" t="s">
        <v>189</v>
      </c>
      <c r="H25" s="4" t="s">
        <v>234</v>
      </c>
      <c r="I25" s="4" t="s">
        <v>235</v>
      </c>
      <c r="J25" s="4" t="s">
        <v>236</v>
      </c>
      <c r="K25" s="4" t="s">
        <v>237</v>
      </c>
      <c r="L25" s="13" t="s">
        <v>133</v>
      </c>
      <c r="M25" s="13" t="s">
        <v>238</v>
      </c>
      <c r="N25" s="13" t="s">
        <v>124</v>
      </c>
      <c r="O25" s="4" t="str">
        <f>Cover!$C$8</f>
        <v>Marshanda Kasih Simangunsong</v>
      </c>
      <c r="P25" s="14">
        <v>45082</v>
      </c>
      <c r="Q25" s="29"/>
    </row>
    <row r="26" spans="1:17" ht="52.8" x14ac:dyDescent="0.3">
      <c r="A26" s="13" t="s">
        <v>239</v>
      </c>
      <c r="B26" s="13" t="s">
        <v>71</v>
      </c>
      <c r="C26" s="4" t="str">
        <f>INDEX('Test Scenario'!$B:$B,MATCH(B26,'Test Scenario'!$A:$A,0))</f>
        <v>Surat Pengantar KTP – Pengajuan</v>
      </c>
      <c r="D26" s="4" t="s">
        <v>240</v>
      </c>
      <c r="E26" s="13" t="s">
        <v>118</v>
      </c>
      <c r="F26" s="13" t="s">
        <v>26</v>
      </c>
      <c r="G26" s="4" t="s">
        <v>241</v>
      </c>
      <c r="H26" s="4" t="s">
        <v>242</v>
      </c>
      <c r="I26" s="4" t="s">
        <v>243</v>
      </c>
      <c r="J26" s="4" t="s">
        <v>244</v>
      </c>
      <c r="K26" s="4" t="s">
        <v>123</v>
      </c>
      <c r="L26" s="13" t="s">
        <v>124</v>
      </c>
      <c r="M26" s="13"/>
      <c r="N26" s="13"/>
      <c r="O26" s="4" t="str">
        <f>Cover!$C$8</f>
        <v>Marshanda Kasih Simangunsong</v>
      </c>
      <c r="P26" s="14">
        <v>45083</v>
      </c>
      <c r="Q26" s="29"/>
    </row>
    <row r="27" spans="1:17" ht="52.8" x14ac:dyDescent="0.3">
      <c r="A27" s="13" t="s">
        <v>245</v>
      </c>
      <c r="B27" s="13" t="s">
        <v>71</v>
      </c>
      <c r="C27" s="4" t="str">
        <f>INDEX('Test Scenario'!$B:$B,MATCH(B27,'Test Scenario'!$A:$A,0))</f>
        <v>Surat Pengantar KTP – Pengajuan</v>
      </c>
      <c r="D27" s="4" t="s">
        <v>246</v>
      </c>
      <c r="E27" s="13" t="s">
        <v>127</v>
      </c>
      <c r="F27" s="13" t="s">
        <v>26</v>
      </c>
      <c r="G27" s="4" t="s">
        <v>241</v>
      </c>
      <c r="H27" s="4" t="s">
        <v>247</v>
      </c>
      <c r="I27" s="4" t="s">
        <v>248</v>
      </c>
      <c r="J27" s="4" t="s">
        <v>249</v>
      </c>
      <c r="K27" s="4" t="s">
        <v>250</v>
      </c>
      <c r="L27" s="13" t="s">
        <v>133</v>
      </c>
      <c r="M27" s="13" t="s">
        <v>251</v>
      </c>
      <c r="N27" s="13" t="s">
        <v>124</v>
      </c>
      <c r="O27" s="4" t="str">
        <f>Cover!$C$8</f>
        <v>Marshanda Kasih Simangunsong</v>
      </c>
      <c r="P27" s="14">
        <v>45083</v>
      </c>
      <c r="Q27" s="29"/>
    </row>
    <row r="28" spans="1:17" ht="52.8" x14ac:dyDescent="0.3">
      <c r="A28" s="13" t="s">
        <v>252</v>
      </c>
      <c r="B28" s="13" t="s">
        <v>71</v>
      </c>
      <c r="C28" s="4" t="str">
        <f>INDEX('Test Scenario'!$B:$B,MATCH(B28,'Test Scenario'!$A:$A,0))</f>
        <v>Surat Pengantar KTP – Pengajuan</v>
      </c>
      <c r="D28" s="4" t="s">
        <v>253</v>
      </c>
      <c r="E28" s="13" t="s">
        <v>127</v>
      </c>
      <c r="F28" s="13" t="s">
        <v>26</v>
      </c>
      <c r="G28" s="4" t="s">
        <v>241</v>
      </c>
      <c r="H28" s="4" t="s">
        <v>254</v>
      </c>
      <c r="I28" s="4" t="s">
        <v>255</v>
      </c>
      <c r="J28" s="4" t="s">
        <v>256</v>
      </c>
      <c r="K28" s="4" t="s">
        <v>123</v>
      </c>
      <c r="L28" s="13" t="s">
        <v>124</v>
      </c>
      <c r="M28" s="13"/>
      <c r="N28" s="13"/>
      <c r="O28" s="4" t="str">
        <f>Cover!$C$8</f>
        <v>Marshanda Kasih Simangunsong</v>
      </c>
      <c r="P28" s="14">
        <v>45083</v>
      </c>
      <c r="Q28" s="29"/>
    </row>
    <row r="29" spans="1:17" ht="26.4" x14ac:dyDescent="0.3">
      <c r="A29" s="13" t="s">
        <v>257</v>
      </c>
      <c r="B29" s="13" t="s">
        <v>71</v>
      </c>
      <c r="C29" s="4" t="str">
        <f>INDEX('Test Scenario'!$B:$B,MATCH(B29,'Test Scenario'!$A:$A,0))</f>
        <v>Surat Pengantar KTP – Pengajuan</v>
      </c>
      <c r="D29" s="4" t="s">
        <v>258</v>
      </c>
      <c r="E29" s="13" t="s">
        <v>118</v>
      </c>
      <c r="F29" s="13" t="s">
        <v>28</v>
      </c>
      <c r="G29" s="4" t="s">
        <v>259</v>
      </c>
      <c r="H29" s="4" t="s">
        <v>260</v>
      </c>
      <c r="I29" s="4" t="s">
        <v>185</v>
      </c>
      <c r="J29" s="4" t="s">
        <v>261</v>
      </c>
      <c r="K29" s="4" t="s">
        <v>123</v>
      </c>
      <c r="L29" s="13" t="s">
        <v>124</v>
      </c>
      <c r="M29" s="13"/>
      <c r="N29" s="13"/>
      <c r="O29" s="4" t="str">
        <f>Cover!$C$8</f>
        <v>Marshanda Kasih Simangunsong</v>
      </c>
      <c r="P29" s="14">
        <v>45083</v>
      </c>
      <c r="Q29" s="29"/>
    </row>
    <row r="30" spans="1:17" ht="39.6" x14ac:dyDescent="0.3">
      <c r="A30" s="13" t="s">
        <v>262</v>
      </c>
      <c r="B30" s="13" t="s">
        <v>75</v>
      </c>
      <c r="C30" s="4" t="str">
        <f>INDEX('Test Scenario'!$B:$B,MATCH(B30,'Test Scenario'!$A:$A,0))</f>
        <v>Surat Pengantar KTP – Approval</v>
      </c>
      <c r="D30" s="4" t="s">
        <v>263</v>
      </c>
      <c r="E30" s="13" t="s">
        <v>118</v>
      </c>
      <c r="F30" s="13" t="s">
        <v>26</v>
      </c>
      <c r="G30" s="4" t="s">
        <v>264</v>
      </c>
      <c r="H30" s="4" t="s">
        <v>265</v>
      </c>
      <c r="I30" s="4" t="s">
        <v>185</v>
      </c>
      <c r="J30" s="4" t="s">
        <v>266</v>
      </c>
      <c r="K30" s="4" t="s">
        <v>123</v>
      </c>
      <c r="L30" s="13" t="s">
        <v>124</v>
      </c>
      <c r="M30" s="13"/>
      <c r="N30" s="13"/>
      <c r="O30" s="4" t="str">
        <f>Cover!$C$8</f>
        <v>Marshanda Kasih Simangunsong</v>
      </c>
      <c r="P30" s="14">
        <v>45083</v>
      </c>
      <c r="Q30" s="29"/>
    </row>
    <row r="31" spans="1:17" ht="39.6" x14ac:dyDescent="0.3">
      <c r="A31" s="13" t="s">
        <v>267</v>
      </c>
      <c r="B31" s="13" t="s">
        <v>75</v>
      </c>
      <c r="C31" s="4" t="str">
        <f>INDEX('Test Scenario'!$B:$B,MATCH(B31,'Test Scenario'!$A:$A,0))</f>
        <v>Surat Pengantar KTP – Approval</v>
      </c>
      <c r="D31" s="4" t="s">
        <v>268</v>
      </c>
      <c r="E31" s="13" t="s">
        <v>118</v>
      </c>
      <c r="F31" s="13" t="s">
        <v>26</v>
      </c>
      <c r="G31" s="4" t="s">
        <v>264</v>
      </c>
      <c r="H31" s="4" t="s">
        <v>269</v>
      </c>
      <c r="I31" s="4" t="s">
        <v>185</v>
      </c>
      <c r="J31" s="4" t="s">
        <v>270</v>
      </c>
      <c r="K31" s="4" t="s">
        <v>123</v>
      </c>
      <c r="L31" s="13" t="s">
        <v>124</v>
      </c>
      <c r="M31" s="13"/>
      <c r="N31" s="13"/>
      <c r="O31" s="4" t="str">
        <f>Cover!$C$8</f>
        <v>Marshanda Kasih Simangunsong</v>
      </c>
      <c r="P31" s="14">
        <v>45083</v>
      </c>
      <c r="Q31" s="29"/>
    </row>
    <row r="32" spans="1:17" ht="26.4" x14ac:dyDescent="0.3">
      <c r="A32" s="13" t="s">
        <v>271</v>
      </c>
      <c r="B32" s="13" t="s">
        <v>75</v>
      </c>
      <c r="C32" s="4" t="str">
        <f>INDEX('Test Scenario'!$B:$B,MATCH(B32,'Test Scenario'!$A:$A,0))</f>
        <v>Surat Pengantar KTP – Approval</v>
      </c>
      <c r="D32" s="4" t="s">
        <v>272</v>
      </c>
      <c r="E32" s="13" t="s">
        <v>118</v>
      </c>
      <c r="F32" s="13" t="s">
        <v>28</v>
      </c>
      <c r="G32" s="4" t="s">
        <v>189</v>
      </c>
      <c r="H32" s="4" t="s">
        <v>273</v>
      </c>
      <c r="I32" s="4" t="s">
        <v>185</v>
      </c>
      <c r="J32" s="4" t="s">
        <v>274</v>
      </c>
      <c r="K32" s="4" t="s">
        <v>123</v>
      </c>
      <c r="L32" s="13" t="s">
        <v>124</v>
      </c>
      <c r="M32" s="13"/>
      <c r="N32" s="13"/>
      <c r="O32" s="4" t="str">
        <f>Cover!$C$8</f>
        <v>Marshanda Kasih Simangunsong</v>
      </c>
      <c r="P32" s="14">
        <v>45083</v>
      </c>
      <c r="Q32" s="29"/>
    </row>
    <row r="33" spans="1:17" ht="26.4" x14ac:dyDescent="0.3">
      <c r="A33" s="13" t="s">
        <v>275</v>
      </c>
      <c r="B33" s="13" t="s">
        <v>75</v>
      </c>
      <c r="C33" s="4" t="str">
        <f>INDEX('Test Scenario'!$B:$B,MATCH(B33,'Test Scenario'!$A:$A,0))</f>
        <v>Surat Pengantar KTP – Approval</v>
      </c>
      <c r="D33" s="4" t="s">
        <v>276</v>
      </c>
      <c r="E33" s="13" t="s">
        <v>118</v>
      </c>
      <c r="F33" s="13" t="s">
        <v>28</v>
      </c>
      <c r="G33" s="4" t="s">
        <v>189</v>
      </c>
      <c r="H33" s="4" t="s">
        <v>277</v>
      </c>
      <c r="I33" s="4" t="s">
        <v>185</v>
      </c>
      <c r="J33" s="4" t="s">
        <v>278</v>
      </c>
      <c r="K33" s="4" t="s">
        <v>123</v>
      </c>
      <c r="L33" s="13" t="s">
        <v>124</v>
      </c>
      <c r="M33" s="13"/>
      <c r="N33" s="13"/>
      <c r="O33" s="4" t="str">
        <f>Cover!$C$8</f>
        <v>Marshanda Kasih Simangunsong</v>
      </c>
      <c r="P33" s="14">
        <v>45083</v>
      </c>
      <c r="Q33" s="29"/>
    </row>
    <row r="34" spans="1:17" ht="39.6" x14ac:dyDescent="0.3">
      <c r="A34" s="13" t="s">
        <v>279</v>
      </c>
      <c r="B34" s="13" t="s">
        <v>79</v>
      </c>
      <c r="C34" s="4" t="str">
        <f>INDEX('Test Scenario'!$B:$B,MATCH(B34,'Test Scenario'!$A:$A,0))</f>
        <v>Kelola Saran</v>
      </c>
      <c r="D34" s="4" t="s">
        <v>280</v>
      </c>
      <c r="E34" s="13" t="s">
        <v>118</v>
      </c>
      <c r="F34" s="13" t="s">
        <v>28</v>
      </c>
      <c r="G34" s="4" t="s">
        <v>137</v>
      </c>
      <c r="H34" s="4" t="s">
        <v>281</v>
      </c>
      <c r="I34" s="4" t="s">
        <v>282</v>
      </c>
      <c r="J34" s="4" t="s">
        <v>283</v>
      </c>
      <c r="K34" s="4" t="s">
        <v>123</v>
      </c>
      <c r="L34" s="13" t="s">
        <v>124</v>
      </c>
      <c r="M34" s="13"/>
      <c r="N34" s="13"/>
      <c r="O34" s="4" t="str">
        <f>Cover!$C$8</f>
        <v>Marshanda Kasih Simangunsong</v>
      </c>
      <c r="P34" s="14">
        <v>45083</v>
      </c>
      <c r="Q34" s="29"/>
    </row>
    <row r="35" spans="1:17" ht="52.8" x14ac:dyDescent="0.3">
      <c r="A35" s="13" t="s">
        <v>284</v>
      </c>
      <c r="B35" s="13" t="s">
        <v>79</v>
      </c>
      <c r="C35" s="4" t="str">
        <f>INDEX('Test Scenario'!$B:$B,MATCH(B35,'Test Scenario'!$A:$A,0))</f>
        <v>Kelola Saran</v>
      </c>
      <c r="D35" s="4" t="s">
        <v>285</v>
      </c>
      <c r="E35" s="13" t="s">
        <v>127</v>
      </c>
      <c r="F35" s="13" t="s">
        <v>26</v>
      </c>
      <c r="G35" s="4" t="s">
        <v>286</v>
      </c>
      <c r="H35" s="4" t="s">
        <v>287</v>
      </c>
      <c r="I35" s="4" t="s">
        <v>288</v>
      </c>
      <c r="J35" s="4" t="s">
        <v>289</v>
      </c>
      <c r="K35" s="4" t="s">
        <v>290</v>
      </c>
      <c r="L35" s="13" t="s">
        <v>133</v>
      </c>
      <c r="M35" s="13" t="s">
        <v>291</v>
      </c>
      <c r="N35" s="13" t="s">
        <v>124</v>
      </c>
      <c r="O35" s="4" t="str">
        <f>Cover!$C$8</f>
        <v>Marshanda Kasih Simangunsong</v>
      </c>
      <c r="P35" s="14">
        <v>45083</v>
      </c>
      <c r="Q35" s="29"/>
    </row>
    <row r="36" spans="1:17" ht="26.4" x14ac:dyDescent="0.3">
      <c r="A36" s="13" t="s">
        <v>292</v>
      </c>
      <c r="B36" s="13" t="s">
        <v>79</v>
      </c>
      <c r="C36" s="4" t="str">
        <f>INDEX('Test Scenario'!$B:$B,MATCH(B36,'Test Scenario'!$A:$A,0))</f>
        <v>Kelola Saran</v>
      </c>
      <c r="D36" s="4" t="s">
        <v>293</v>
      </c>
      <c r="E36" s="13" t="s">
        <v>118</v>
      </c>
      <c r="F36" s="13" t="s">
        <v>28</v>
      </c>
      <c r="G36" s="4" t="s">
        <v>189</v>
      </c>
      <c r="H36" s="4" t="s">
        <v>294</v>
      </c>
      <c r="I36" s="4" t="s">
        <v>185</v>
      </c>
      <c r="J36" s="4" t="s">
        <v>295</v>
      </c>
      <c r="K36" s="4" t="s">
        <v>123</v>
      </c>
      <c r="L36" s="13" t="s">
        <v>124</v>
      </c>
      <c r="M36" s="13"/>
      <c r="N36" s="13"/>
      <c r="O36" s="4" t="str">
        <f>Cover!$C$8</f>
        <v>Marshanda Kasih Simangunsong</v>
      </c>
      <c r="P36" s="14">
        <v>45083</v>
      </c>
      <c r="Q36" s="29"/>
    </row>
    <row r="37" spans="1:17" ht="52.8" x14ac:dyDescent="0.3">
      <c r="A37" s="13" t="s">
        <v>296</v>
      </c>
      <c r="B37" s="13" t="s">
        <v>79</v>
      </c>
      <c r="C37" s="4" t="str">
        <f>INDEX('Test Scenario'!$B:$B,MATCH(B37,'Test Scenario'!$A:$A,0))</f>
        <v>Kelola Saran</v>
      </c>
      <c r="D37" s="4" t="s">
        <v>297</v>
      </c>
      <c r="E37" s="13" t="s">
        <v>118</v>
      </c>
      <c r="F37" s="13" t="s">
        <v>30</v>
      </c>
      <c r="G37" s="4" t="s">
        <v>298</v>
      </c>
      <c r="H37" s="4" t="s">
        <v>299</v>
      </c>
      <c r="I37" s="4" t="s">
        <v>185</v>
      </c>
      <c r="J37" s="4" t="s">
        <v>300</v>
      </c>
      <c r="K37" s="4" t="s">
        <v>123</v>
      </c>
      <c r="L37" s="13" t="s">
        <v>124</v>
      </c>
      <c r="M37" s="13"/>
      <c r="N37" s="13"/>
      <c r="O37" s="4" t="str">
        <f>Cover!$C$8</f>
        <v>Marshanda Kasih Simangunsong</v>
      </c>
      <c r="P37" s="14">
        <v>45083</v>
      </c>
      <c r="Q37" s="29"/>
    </row>
    <row r="38" spans="1:17" ht="39.6" x14ac:dyDescent="0.3">
      <c r="A38" s="13" t="s">
        <v>301</v>
      </c>
      <c r="B38" s="13" t="s">
        <v>79</v>
      </c>
      <c r="C38" s="4" t="str">
        <f>INDEX('Test Scenario'!$B:$B,MATCH(B38,'Test Scenario'!$A:$A,0))</f>
        <v>Kelola Saran</v>
      </c>
      <c r="D38" s="4" t="s">
        <v>302</v>
      </c>
      <c r="E38" s="13" t="s">
        <v>118</v>
      </c>
      <c r="F38" s="13" t="s">
        <v>28</v>
      </c>
      <c r="G38" s="4" t="s">
        <v>298</v>
      </c>
      <c r="H38" s="4" t="s">
        <v>303</v>
      </c>
      <c r="I38" s="4" t="s">
        <v>185</v>
      </c>
      <c r="J38" s="4" t="s">
        <v>304</v>
      </c>
      <c r="K38" s="4" t="s">
        <v>123</v>
      </c>
      <c r="L38" s="13" t="s">
        <v>124</v>
      </c>
      <c r="M38" s="13"/>
      <c r="N38" s="13"/>
      <c r="O38" s="4" t="str">
        <f>Cover!$C$8</f>
        <v>Marshanda Kasih Simangunsong</v>
      </c>
      <c r="P38" s="14">
        <v>45083</v>
      </c>
      <c r="Q38" s="29"/>
    </row>
    <row r="39" spans="1:17" ht="52.8" x14ac:dyDescent="0.3">
      <c r="A39" s="13" t="s">
        <v>305</v>
      </c>
      <c r="B39" s="13" t="s">
        <v>83</v>
      </c>
      <c r="C39" s="4" t="str">
        <f>INDEX('Test Scenario'!$B:$B,MATCH(B39,'Test Scenario'!$A:$A,0))</f>
        <v>Kelola Galeri</v>
      </c>
      <c r="D39" s="4" t="s">
        <v>306</v>
      </c>
      <c r="E39" s="13" t="s">
        <v>118</v>
      </c>
      <c r="F39" s="13" t="s">
        <v>28</v>
      </c>
      <c r="G39" s="4" t="s">
        <v>189</v>
      </c>
      <c r="H39" s="4" t="s">
        <v>307</v>
      </c>
      <c r="I39" s="4" t="s">
        <v>308</v>
      </c>
      <c r="J39" s="4" t="s">
        <v>309</v>
      </c>
      <c r="K39" s="4" t="s">
        <v>123</v>
      </c>
      <c r="L39" s="13" t="s">
        <v>124</v>
      </c>
      <c r="M39" s="13"/>
      <c r="N39" s="13"/>
      <c r="O39" s="4" t="str">
        <f>Cover!$C$8</f>
        <v>Marshanda Kasih Simangunsong</v>
      </c>
      <c r="P39" s="14">
        <v>45083</v>
      </c>
      <c r="Q39" s="29"/>
    </row>
    <row r="40" spans="1:17" ht="52.8" x14ac:dyDescent="0.3">
      <c r="A40" s="13" t="s">
        <v>310</v>
      </c>
      <c r="B40" s="13" t="s">
        <v>83</v>
      </c>
      <c r="C40" s="4" t="str">
        <f>INDEX('Test Scenario'!$B:$B,MATCH(B40,'Test Scenario'!$A:$A,0))</f>
        <v>Kelola Galeri</v>
      </c>
      <c r="D40" s="4" t="s">
        <v>311</v>
      </c>
      <c r="E40" s="13" t="s">
        <v>127</v>
      </c>
      <c r="F40" s="13" t="s">
        <v>28</v>
      </c>
      <c r="G40" s="4" t="s">
        <v>189</v>
      </c>
      <c r="H40" s="4" t="s">
        <v>312</v>
      </c>
      <c r="I40" s="4" t="s">
        <v>313</v>
      </c>
      <c r="J40" s="4" t="s">
        <v>314</v>
      </c>
      <c r="K40" s="4" t="s">
        <v>123</v>
      </c>
      <c r="L40" s="13" t="s">
        <v>124</v>
      </c>
      <c r="M40" s="13"/>
      <c r="N40" s="13"/>
      <c r="O40" s="4" t="str">
        <f>Cover!$C$8</f>
        <v>Marshanda Kasih Simangunsong</v>
      </c>
      <c r="P40" s="14">
        <v>45083</v>
      </c>
      <c r="Q40" s="29"/>
    </row>
    <row r="41" spans="1:17" ht="39.6" x14ac:dyDescent="0.3">
      <c r="A41" s="13" t="s">
        <v>315</v>
      </c>
      <c r="B41" s="13" t="s">
        <v>83</v>
      </c>
      <c r="C41" s="4" t="str">
        <f>INDEX('Test Scenario'!$B:$B,MATCH(B41,'Test Scenario'!$A:$A,0))</f>
        <v>Kelola Galeri</v>
      </c>
      <c r="D41" s="4" t="s">
        <v>316</v>
      </c>
      <c r="E41" s="13" t="s">
        <v>118</v>
      </c>
      <c r="F41" s="13" t="s">
        <v>28</v>
      </c>
      <c r="G41" s="4" t="s">
        <v>317</v>
      </c>
      <c r="H41" s="4" t="s">
        <v>318</v>
      </c>
      <c r="I41" s="4" t="s">
        <v>185</v>
      </c>
      <c r="J41" s="4" t="s">
        <v>319</v>
      </c>
      <c r="K41" s="4" t="s">
        <v>123</v>
      </c>
      <c r="L41" s="13" t="s">
        <v>124</v>
      </c>
      <c r="M41" s="13"/>
      <c r="N41" s="13"/>
      <c r="O41" s="4" t="str">
        <f>Cover!$C$8</f>
        <v>Marshanda Kasih Simangunsong</v>
      </c>
      <c r="P41" s="14">
        <v>45083</v>
      </c>
      <c r="Q41" s="29"/>
    </row>
    <row r="42" spans="1:17" ht="26.4" x14ac:dyDescent="0.3">
      <c r="A42" s="13" t="s">
        <v>320</v>
      </c>
      <c r="B42" s="13" t="s">
        <v>87</v>
      </c>
      <c r="C42" s="4" t="str">
        <f>INDEX('Test Scenario'!$B:$B,MATCH(B42,'Test Scenario'!$A:$A,0))</f>
        <v>Logout</v>
      </c>
      <c r="D42" s="4" t="s">
        <v>321</v>
      </c>
      <c r="E42" s="13" t="s">
        <v>118</v>
      </c>
      <c r="F42" s="13" t="s">
        <v>26</v>
      </c>
      <c r="G42" s="4" t="s">
        <v>322</v>
      </c>
      <c r="H42" s="4" t="s">
        <v>323</v>
      </c>
      <c r="I42" s="4" t="s">
        <v>185</v>
      </c>
      <c r="J42" s="4" t="s">
        <v>324</v>
      </c>
      <c r="K42" s="4" t="s">
        <v>123</v>
      </c>
      <c r="L42" s="13" t="s">
        <v>124</v>
      </c>
      <c r="M42" s="13"/>
      <c r="N42" s="13"/>
      <c r="O42" s="4" t="str">
        <f>Cover!$C$8</f>
        <v>Marshanda Kasih Simangunsong</v>
      </c>
      <c r="P42" s="14">
        <v>45083</v>
      </c>
      <c r="Q42" s="29"/>
    </row>
    <row r="43" spans="1:17" ht="39.6" x14ac:dyDescent="0.3">
      <c r="A43" s="13" t="s">
        <v>325</v>
      </c>
      <c r="B43" s="13" t="s">
        <v>87</v>
      </c>
      <c r="C43" s="4" t="str">
        <f>INDEX('Test Scenario'!$B:$B,MATCH(B43,'Test Scenario'!$A:$A,0))</f>
        <v>Logout</v>
      </c>
      <c r="D43" s="4" t="s">
        <v>326</v>
      </c>
      <c r="E43" s="13" t="s">
        <v>127</v>
      </c>
      <c r="F43" s="13" t="s">
        <v>28</v>
      </c>
      <c r="G43" s="4" t="s">
        <v>327</v>
      </c>
      <c r="H43" s="4" t="s">
        <v>328</v>
      </c>
      <c r="I43" s="4" t="s">
        <v>185</v>
      </c>
      <c r="J43" s="4" t="s">
        <v>329</v>
      </c>
      <c r="K43" s="4" t="s">
        <v>330</v>
      </c>
      <c r="L43" s="13" t="s">
        <v>133</v>
      </c>
      <c r="M43" s="13" t="s">
        <v>331</v>
      </c>
      <c r="N43" s="13" t="s">
        <v>124</v>
      </c>
      <c r="O43" s="4" t="str">
        <f>Cover!$C$8</f>
        <v>Marshanda Kasih Simangunsong</v>
      </c>
      <c r="P43" s="14">
        <v>45083</v>
      </c>
      <c r="Q43" s="29"/>
    </row>
    <row r="44" spans="1:17" ht="52.8" x14ac:dyDescent="0.3">
      <c r="A44" s="13" t="s">
        <v>332</v>
      </c>
      <c r="B44" s="13" t="s">
        <v>91</v>
      </c>
      <c r="C44" s="4" t="str">
        <f>INDEX('Test Scenario'!$B:$B,MATCH(B44,'Test Scenario'!$A:$A,0))</f>
        <v>Halaman Publik</v>
      </c>
      <c r="D44" s="4" t="s">
        <v>333</v>
      </c>
      <c r="E44" s="13" t="s">
        <v>118</v>
      </c>
      <c r="F44" s="13" t="s">
        <v>30</v>
      </c>
      <c r="G44" s="4" t="s">
        <v>137</v>
      </c>
      <c r="H44" s="4" t="s">
        <v>334</v>
      </c>
      <c r="I44" s="4" t="s">
        <v>185</v>
      </c>
      <c r="J44" s="4" t="s">
        <v>335</v>
      </c>
      <c r="K44" s="4" t="s">
        <v>123</v>
      </c>
      <c r="L44" s="13" t="s">
        <v>124</v>
      </c>
      <c r="M44" s="13"/>
      <c r="N44" s="13"/>
      <c r="O44" s="4" t="str">
        <f>Cover!$C$8</f>
        <v>Marshanda Kasih Simangunsong</v>
      </c>
      <c r="P44" s="14">
        <v>45084</v>
      </c>
      <c r="Q44" s="29"/>
    </row>
    <row r="45" spans="1:17" ht="39.6" x14ac:dyDescent="0.3">
      <c r="A45" s="13" t="s">
        <v>336</v>
      </c>
      <c r="B45" s="13" t="s">
        <v>95</v>
      </c>
      <c r="C45" s="4" t="str">
        <f>INDEX('Test Scenario'!$B:$B,MATCH(B45,'Test Scenario'!$A:$A,0))</f>
        <v>Kontrol Akses</v>
      </c>
      <c r="D45" s="4" t="s">
        <v>337</v>
      </c>
      <c r="E45" s="13" t="s">
        <v>127</v>
      </c>
      <c r="F45" s="13" t="s">
        <v>26</v>
      </c>
      <c r="G45" s="4" t="s">
        <v>338</v>
      </c>
      <c r="H45" s="4" t="s">
        <v>339</v>
      </c>
      <c r="I45" s="4" t="s">
        <v>340</v>
      </c>
      <c r="J45" s="4" t="s">
        <v>341</v>
      </c>
      <c r="K45" s="4" t="s">
        <v>123</v>
      </c>
      <c r="L45" s="13" t="s">
        <v>124</v>
      </c>
      <c r="M45" s="13"/>
      <c r="N45" s="13"/>
      <c r="O45" s="4" t="str">
        <f>Cover!$C$8</f>
        <v>Marshanda Kasih Simangunsong</v>
      </c>
      <c r="P45" s="14">
        <v>45084</v>
      </c>
      <c r="Q45" s="29"/>
    </row>
    <row r="46" spans="1:17" ht="39.6" x14ac:dyDescent="0.3">
      <c r="A46" s="13" t="s">
        <v>342</v>
      </c>
      <c r="B46" s="13" t="s">
        <v>95</v>
      </c>
      <c r="C46" s="4" t="str">
        <f>INDEX('Test Scenario'!$B:$B,MATCH(B46,'Test Scenario'!$A:$A,0))</f>
        <v>Kontrol Akses</v>
      </c>
      <c r="D46" s="4" t="s">
        <v>343</v>
      </c>
      <c r="E46" s="13" t="s">
        <v>127</v>
      </c>
      <c r="F46" s="13" t="s">
        <v>26</v>
      </c>
      <c r="G46" s="4" t="s">
        <v>344</v>
      </c>
      <c r="H46" s="4" t="s">
        <v>345</v>
      </c>
      <c r="I46" s="4" t="s">
        <v>340</v>
      </c>
      <c r="J46" s="4" t="s">
        <v>346</v>
      </c>
      <c r="K46" s="4" t="s">
        <v>123</v>
      </c>
      <c r="L46" s="13" t="s">
        <v>124</v>
      </c>
      <c r="M46" s="13"/>
      <c r="N46" s="13"/>
      <c r="O46" s="4" t="str">
        <f>Cover!$C$8</f>
        <v>Marshanda Kasih Simangunsong</v>
      </c>
      <c r="P46" s="14">
        <v>45084</v>
      </c>
      <c r="Q46" s="29"/>
    </row>
    <row r="47" spans="1:17" ht="52.8" x14ac:dyDescent="0.3">
      <c r="A47" s="13" t="s">
        <v>347</v>
      </c>
      <c r="B47" s="13" t="s">
        <v>98</v>
      </c>
      <c r="C47" s="4" t="str">
        <f>INDEX('Test Scenario'!$B:$B,MATCH(B47,'Test Scenario'!$A:$A,0))</f>
        <v>Kompatibilitas Browser</v>
      </c>
      <c r="D47" s="4" t="s">
        <v>348</v>
      </c>
      <c r="E47" s="13" t="s">
        <v>118</v>
      </c>
      <c r="F47" s="13" t="s">
        <v>28</v>
      </c>
      <c r="G47" s="4" t="s">
        <v>349</v>
      </c>
      <c r="H47" s="4" t="s">
        <v>350</v>
      </c>
      <c r="I47" s="4" t="s">
        <v>351</v>
      </c>
      <c r="J47" s="4" t="s">
        <v>352</v>
      </c>
      <c r="K47" s="4" t="s">
        <v>123</v>
      </c>
      <c r="L47" s="13" t="s">
        <v>124</v>
      </c>
      <c r="M47" s="13"/>
      <c r="N47" s="13"/>
      <c r="O47" s="4" t="str">
        <f>Cover!$C$8</f>
        <v>Marshanda Kasih Simangunsong</v>
      </c>
      <c r="P47" s="14">
        <v>45084</v>
      </c>
      <c r="Q47" s="29"/>
    </row>
    <row r="48" spans="1:17" ht="52.8" x14ac:dyDescent="0.3">
      <c r="A48" s="13" t="s">
        <v>353</v>
      </c>
      <c r="B48" s="13" t="s">
        <v>98</v>
      </c>
      <c r="C48" s="4" t="str">
        <f>INDEX('Test Scenario'!$B:$B,MATCH(B48,'Test Scenario'!$A:$A,0))</f>
        <v>Kompatibilitas Browser</v>
      </c>
      <c r="D48" s="4" t="s">
        <v>354</v>
      </c>
      <c r="E48" s="13" t="s">
        <v>118</v>
      </c>
      <c r="F48" s="13" t="s">
        <v>28</v>
      </c>
      <c r="G48" s="4" t="s">
        <v>355</v>
      </c>
      <c r="H48" s="4" t="s">
        <v>356</v>
      </c>
      <c r="I48" s="4" t="s">
        <v>357</v>
      </c>
      <c r="J48" s="4" t="s">
        <v>352</v>
      </c>
      <c r="K48" s="4" t="s">
        <v>123</v>
      </c>
      <c r="L48" s="13" t="s">
        <v>124</v>
      </c>
      <c r="M48" s="13"/>
      <c r="N48" s="13"/>
      <c r="O48" s="4" t="str">
        <f>Cover!$C$8</f>
        <v>Marshanda Kasih Simangunsong</v>
      </c>
      <c r="P48" s="14">
        <v>45084</v>
      </c>
      <c r="Q48" s="29"/>
    </row>
    <row r="49" spans="1:17" ht="52.8" x14ac:dyDescent="0.3">
      <c r="A49" s="13" t="s">
        <v>358</v>
      </c>
      <c r="B49" s="13" t="s">
        <v>98</v>
      </c>
      <c r="C49" s="4" t="str">
        <f>INDEX('Test Scenario'!$B:$B,MATCH(B49,'Test Scenario'!$A:$A,0))</f>
        <v>Kompatibilitas Browser</v>
      </c>
      <c r="D49" s="4" t="s">
        <v>359</v>
      </c>
      <c r="E49" s="13" t="s">
        <v>118</v>
      </c>
      <c r="F49" s="13" t="s">
        <v>28</v>
      </c>
      <c r="G49" s="4" t="s">
        <v>360</v>
      </c>
      <c r="H49" s="4" t="s">
        <v>361</v>
      </c>
      <c r="I49" s="4" t="s">
        <v>362</v>
      </c>
      <c r="J49" s="4" t="s">
        <v>352</v>
      </c>
      <c r="K49" s="4" t="s">
        <v>123</v>
      </c>
      <c r="L49" s="13" t="s">
        <v>124</v>
      </c>
      <c r="M49" s="13"/>
      <c r="N49" s="13"/>
      <c r="O49" s="4" t="str">
        <f>Cover!$C$8</f>
        <v>Marshanda Kasih Simangunsong</v>
      </c>
      <c r="P49" s="14">
        <v>45084</v>
      </c>
      <c r="Q49" s="29"/>
    </row>
    <row r="50" spans="1:17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29"/>
    </row>
    <row r="51" spans="1:17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29"/>
    </row>
    <row r="52" spans="1:17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</sheetData>
  <autoFilter ref="A4:Q49" xr:uid="{00000000-0009-0000-0000-000002000000}"/>
  <conditionalFormatting sqref="L5:L49">
    <cfRule type="cellIs" dxfId="17" priority="17" operator="equal">
      <formula>"Pass"</formula>
    </cfRule>
    <cfRule type="cellIs" dxfId="16" priority="18" operator="equal">
      <formula>"Fail"</formula>
    </cfRule>
    <cfRule type="cellIs" dxfId="15" priority="19" operator="equal">
      <formula>"Blocked"</formula>
    </cfRule>
  </conditionalFormatting>
  <conditionalFormatting sqref="N5:N17 N19:N24 N26 N28:N34 N36:N42 N44:N49">
    <cfRule type="cellIs" dxfId="29" priority="20" operator="equal">
      <formula>"Pass"</formula>
    </cfRule>
    <cfRule type="cellIs" dxfId="28" priority="21" operator="equal">
      <formula>"Fail"</formula>
    </cfRule>
    <cfRule type="cellIs" dxfId="27" priority="22" operator="equal">
      <formula>"Pending"</formula>
    </cfRule>
  </conditionalFormatting>
  <conditionalFormatting sqref="N18">
    <cfRule type="cellIs" dxfId="14" priority="13" operator="equal">
      <formula>"Pass"</formula>
    </cfRule>
    <cfRule type="cellIs" dxfId="13" priority="14" operator="equal">
      <formula>"Fail"</formula>
    </cfRule>
    <cfRule type="cellIs" dxfId="12" priority="15" operator="equal">
      <formula>"Blocked"</formula>
    </cfRule>
  </conditionalFormatting>
  <conditionalFormatting sqref="N25">
    <cfRule type="cellIs" dxfId="11" priority="10" operator="equal">
      <formula>"Pass"</formula>
    </cfRule>
    <cfRule type="cellIs" dxfId="10" priority="11" operator="equal">
      <formula>"Fail"</formula>
    </cfRule>
    <cfRule type="cellIs" dxfId="9" priority="12" operator="equal">
      <formula>"Blocked"</formula>
    </cfRule>
  </conditionalFormatting>
  <conditionalFormatting sqref="N27">
    <cfRule type="cellIs" dxfId="8" priority="7" operator="equal">
      <formula>"Pass"</formula>
    </cfRule>
    <cfRule type="cellIs" dxfId="7" priority="8" operator="equal">
      <formula>"Fail"</formula>
    </cfRule>
    <cfRule type="cellIs" dxfId="6" priority="9" operator="equal">
      <formula>"Blocked"</formula>
    </cfRule>
  </conditionalFormatting>
  <conditionalFormatting sqref="N35">
    <cfRule type="cellIs" dxfId="5" priority="4" operator="equal">
      <formula>"Pass"</formula>
    </cfRule>
    <cfRule type="cellIs" dxfId="4" priority="5" operator="equal">
      <formula>"Fail"</formula>
    </cfRule>
    <cfRule type="cellIs" dxfId="3" priority="6" operator="equal">
      <formula>"Blocked"</formula>
    </cfRule>
  </conditionalFormatting>
  <conditionalFormatting sqref="N43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"Blocked"</formula>
    </cfRule>
  </conditionalFormatting>
  <dataValidations count="2">
    <dataValidation type="list" allowBlank="1" sqref="L5:L49 N18 N25 N27 N35 N43" xr:uid="{00000000-0002-0000-0200-000000000000}">
      <formula1>"Pass,Fail,Blocked,Not Run"</formula1>
      <formula2>0</formula2>
    </dataValidation>
    <dataValidation type="list" allowBlank="1" sqref="N5:N17 N19:N24 N26 N28:N34 N36:N42 N44:N49" xr:uid="{00000000-0002-0000-0200-000001000000}">
      <formula1>"Pass,Fail,Pending"</formula1>
      <formula2>0</formula2>
    </dataValidation>
  </dataValidations>
  <pageMargins left="0.75" right="0.75" top="1" bottom="1" header="0.511811023622047" footer="0.511811023622047"/>
  <pageSetup scale="34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4"/>
  <sheetViews>
    <sheetView zoomScaleNormal="100" workbookViewId="0">
      <pane xSplit="2" ySplit="4" topLeftCell="C8" activePane="bottomRight" state="frozen"/>
      <selection pane="topRight" activeCell="C1" sqref="C1"/>
      <selection pane="bottomLeft" activeCell="A5" sqref="A5"/>
      <selection pane="bottomRight" activeCell="G7" sqref="G7"/>
    </sheetView>
  </sheetViews>
  <sheetFormatPr defaultColWidth="8.6640625" defaultRowHeight="14.4" x14ac:dyDescent="0.3"/>
  <cols>
    <col min="1" max="1" width="10" customWidth="1"/>
    <col min="2" max="2" width="40" customWidth="1"/>
    <col min="3" max="3" width="20" customWidth="1"/>
    <col min="4" max="5" width="10" customWidth="1"/>
    <col min="6" max="6" width="9" customWidth="1"/>
    <col min="7" max="7" width="10" customWidth="1"/>
    <col min="8" max="8" width="22" customWidth="1"/>
    <col min="9" max="9" width="42" customWidth="1"/>
    <col min="10" max="10" width="34" customWidth="1"/>
    <col min="11" max="11" width="36" customWidth="1"/>
    <col min="12" max="12" width="15" customWidth="1"/>
    <col min="13" max="15" width="12" customWidth="1"/>
    <col min="16" max="16" width="20" customWidth="1"/>
    <col min="17" max="17" width="38" customWidth="1"/>
  </cols>
  <sheetData>
    <row r="1" spans="1:17" ht="17.399999999999999" x14ac:dyDescent="0.3">
      <c r="A1" s="10" t="s">
        <v>363</v>
      </c>
    </row>
    <row r="2" spans="1:17" x14ac:dyDescent="0.3">
      <c r="A2" s="11" t="s">
        <v>364</v>
      </c>
    </row>
    <row r="4" spans="1:17" ht="31.5" customHeight="1" x14ac:dyDescent="0.3">
      <c r="A4" s="12" t="s">
        <v>112</v>
      </c>
      <c r="B4" s="12" t="s">
        <v>365</v>
      </c>
      <c r="C4" s="12" t="s">
        <v>49</v>
      </c>
      <c r="D4" s="12" t="s">
        <v>366</v>
      </c>
      <c r="E4" s="12" t="s">
        <v>367</v>
      </c>
      <c r="F4" s="12" t="s">
        <v>32</v>
      </c>
      <c r="G4" s="12" t="s">
        <v>111</v>
      </c>
      <c r="H4" s="12" t="s">
        <v>15</v>
      </c>
      <c r="I4" s="12" t="s">
        <v>368</v>
      </c>
      <c r="J4" s="12" t="s">
        <v>109</v>
      </c>
      <c r="K4" s="12" t="s">
        <v>110</v>
      </c>
      <c r="L4" s="12" t="s">
        <v>369</v>
      </c>
      <c r="M4" s="12" t="s">
        <v>370</v>
      </c>
      <c r="N4" s="12" t="s">
        <v>371</v>
      </c>
      <c r="O4" s="12" t="s">
        <v>372</v>
      </c>
      <c r="P4" s="12" t="s">
        <v>115</v>
      </c>
      <c r="Q4" s="12" t="s">
        <v>373</v>
      </c>
    </row>
    <row r="5" spans="1:17" ht="57.6" x14ac:dyDescent="0.3">
      <c r="A5" s="26" t="s">
        <v>134</v>
      </c>
      <c r="B5" s="4" t="s">
        <v>374</v>
      </c>
      <c r="C5" s="4" t="s">
        <v>56</v>
      </c>
      <c r="D5" s="13" t="s">
        <v>125</v>
      </c>
      <c r="E5" s="13" t="s">
        <v>26</v>
      </c>
      <c r="F5" s="13" t="s">
        <v>26</v>
      </c>
      <c r="G5" s="13" t="s">
        <v>375</v>
      </c>
      <c r="H5" s="4" t="s">
        <v>376</v>
      </c>
      <c r="I5" s="4" t="s">
        <v>377</v>
      </c>
      <c r="J5" s="4" t="s">
        <v>378</v>
      </c>
      <c r="K5" s="4" t="s">
        <v>379</v>
      </c>
      <c r="L5" s="4" t="str">
        <f>Cover!$C$8</f>
        <v>Marshanda Kasih Simangunsong</v>
      </c>
      <c r="M5" s="14">
        <v>45082</v>
      </c>
      <c r="N5" s="4" t="s">
        <v>380</v>
      </c>
      <c r="O5" s="14">
        <v>45086</v>
      </c>
      <c r="P5" s="27" t="s">
        <v>436</v>
      </c>
      <c r="Q5" s="4" t="s">
        <v>381</v>
      </c>
    </row>
    <row r="6" spans="1:17" ht="72" x14ac:dyDescent="0.3">
      <c r="A6" s="13" t="s">
        <v>152</v>
      </c>
      <c r="B6" s="4" t="s">
        <v>382</v>
      </c>
      <c r="C6" s="4" t="s">
        <v>56</v>
      </c>
      <c r="D6" s="13" t="s">
        <v>146</v>
      </c>
      <c r="E6" s="13" t="s">
        <v>28</v>
      </c>
      <c r="F6" s="13" t="s">
        <v>28</v>
      </c>
      <c r="G6" s="13" t="s">
        <v>375</v>
      </c>
      <c r="H6" s="4" t="s">
        <v>376</v>
      </c>
      <c r="I6" s="4" t="s">
        <v>383</v>
      </c>
      <c r="J6" s="4" t="s">
        <v>384</v>
      </c>
      <c r="K6" s="4" t="s">
        <v>385</v>
      </c>
      <c r="L6" s="4" t="str">
        <f>Cover!$C$8</f>
        <v>Marshanda Kasih Simangunsong</v>
      </c>
      <c r="M6" s="14">
        <v>45082</v>
      </c>
      <c r="N6" s="4" t="s">
        <v>380</v>
      </c>
      <c r="O6" s="14">
        <v>45086</v>
      </c>
      <c r="P6" s="27" t="s">
        <v>437</v>
      </c>
      <c r="Q6" s="4" t="s">
        <v>386</v>
      </c>
    </row>
    <row r="7" spans="1:17" ht="79.2" x14ac:dyDescent="0.3">
      <c r="A7" s="13" t="s">
        <v>199</v>
      </c>
      <c r="B7" s="25" t="s">
        <v>387</v>
      </c>
      <c r="C7" s="4" t="s">
        <v>64</v>
      </c>
      <c r="D7" s="13" t="s">
        <v>193</v>
      </c>
      <c r="E7" s="13" t="s">
        <v>28</v>
      </c>
      <c r="F7" s="13" t="s">
        <v>28</v>
      </c>
      <c r="G7" s="13" t="s">
        <v>375</v>
      </c>
      <c r="H7" s="4" t="s">
        <v>376</v>
      </c>
      <c r="I7" s="4" t="s">
        <v>389</v>
      </c>
      <c r="J7" s="25" t="s">
        <v>390</v>
      </c>
      <c r="K7" s="4" t="s">
        <v>391</v>
      </c>
      <c r="L7" s="4" t="str">
        <f>Cover!$C$8</f>
        <v>Marshanda Kasih Simangunsong</v>
      </c>
      <c r="M7" s="14">
        <v>45082</v>
      </c>
      <c r="N7" s="4" t="s">
        <v>380</v>
      </c>
      <c r="O7" s="14">
        <v>45086</v>
      </c>
      <c r="P7" s="27" t="s">
        <v>438</v>
      </c>
      <c r="Q7" s="4" t="s">
        <v>392</v>
      </c>
    </row>
    <row r="8" spans="1:17" ht="57.6" x14ac:dyDescent="0.3">
      <c r="A8" s="13" t="s">
        <v>216</v>
      </c>
      <c r="B8" s="25" t="s">
        <v>393</v>
      </c>
      <c r="C8" s="4" t="s">
        <v>64</v>
      </c>
      <c r="D8" s="13" t="s">
        <v>211</v>
      </c>
      <c r="E8" s="13" t="s">
        <v>28</v>
      </c>
      <c r="F8" s="13" t="s">
        <v>28</v>
      </c>
      <c r="G8" s="13" t="s">
        <v>375</v>
      </c>
      <c r="H8" s="4" t="s">
        <v>376</v>
      </c>
      <c r="I8" s="4" t="s">
        <v>394</v>
      </c>
      <c r="J8" s="4" t="s">
        <v>395</v>
      </c>
      <c r="K8" s="25" t="s">
        <v>396</v>
      </c>
      <c r="L8" s="4" t="str">
        <f>Cover!$C$8</f>
        <v>Marshanda Kasih Simangunsong</v>
      </c>
      <c r="M8" s="14">
        <v>45082</v>
      </c>
      <c r="N8" s="4" t="s">
        <v>380</v>
      </c>
      <c r="O8" s="14">
        <v>45086</v>
      </c>
      <c r="P8" s="27" t="s">
        <v>439</v>
      </c>
      <c r="Q8" s="4" t="s">
        <v>397</v>
      </c>
    </row>
    <row r="9" spans="1:17" ht="66" x14ac:dyDescent="0.3">
      <c r="A9" s="13" t="s">
        <v>238</v>
      </c>
      <c r="B9" s="25" t="s">
        <v>398</v>
      </c>
      <c r="C9" s="4" t="s">
        <v>68</v>
      </c>
      <c r="D9" s="13" t="s">
        <v>232</v>
      </c>
      <c r="E9" s="13" t="s">
        <v>30</v>
      </c>
      <c r="F9" s="13" t="s">
        <v>30</v>
      </c>
      <c r="G9" s="13" t="s">
        <v>375</v>
      </c>
      <c r="H9" s="4" t="s">
        <v>376</v>
      </c>
      <c r="I9" s="4" t="s">
        <v>399</v>
      </c>
      <c r="J9" s="4" t="s">
        <v>400</v>
      </c>
      <c r="K9" s="25" t="s">
        <v>401</v>
      </c>
      <c r="L9" s="4" t="str">
        <f>Cover!$C$8</f>
        <v>Marshanda Kasih Simangunsong</v>
      </c>
      <c r="M9" s="14">
        <v>45082</v>
      </c>
      <c r="N9" s="4" t="s">
        <v>380</v>
      </c>
      <c r="O9" s="14">
        <v>45086</v>
      </c>
      <c r="P9" s="27" t="s">
        <v>440</v>
      </c>
      <c r="Q9" s="4" t="s">
        <v>402</v>
      </c>
    </row>
    <row r="10" spans="1:17" ht="72" x14ac:dyDescent="0.3">
      <c r="A10" s="13" t="s">
        <v>251</v>
      </c>
      <c r="B10" s="4" t="s">
        <v>403</v>
      </c>
      <c r="C10" s="4" t="s">
        <v>404</v>
      </c>
      <c r="D10" s="13" t="s">
        <v>245</v>
      </c>
      <c r="E10" s="13" t="s">
        <v>26</v>
      </c>
      <c r="F10" s="13" t="s">
        <v>26</v>
      </c>
      <c r="G10" s="13" t="s">
        <v>375</v>
      </c>
      <c r="H10" s="4" t="s">
        <v>376</v>
      </c>
      <c r="I10" s="4" t="s">
        <v>406</v>
      </c>
      <c r="J10" s="4" t="s">
        <v>407</v>
      </c>
      <c r="K10" s="4" t="s">
        <v>408</v>
      </c>
      <c r="L10" s="4" t="str">
        <f>Cover!$C$8</f>
        <v>Marshanda Kasih Simangunsong</v>
      </c>
      <c r="M10" s="14">
        <v>45083</v>
      </c>
      <c r="N10" s="4" t="s">
        <v>380</v>
      </c>
      <c r="O10" s="14">
        <v>45086</v>
      </c>
      <c r="P10" s="27" t="s">
        <v>441</v>
      </c>
      <c r="Q10" s="4" t="s">
        <v>409</v>
      </c>
    </row>
    <row r="11" spans="1:17" ht="72" x14ac:dyDescent="0.3">
      <c r="A11" s="13" t="s">
        <v>291</v>
      </c>
      <c r="B11" s="4" t="s">
        <v>410</v>
      </c>
      <c r="C11" s="4" t="s">
        <v>80</v>
      </c>
      <c r="D11" s="13" t="s">
        <v>284</v>
      </c>
      <c r="E11" s="13" t="s">
        <v>24</v>
      </c>
      <c r="F11" s="13" t="s">
        <v>26</v>
      </c>
      <c r="G11" s="13" t="s">
        <v>375</v>
      </c>
      <c r="H11" s="4" t="s">
        <v>376</v>
      </c>
      <c r="I11" s="4" t="s">
        <v>411</v>
      </c>
      <c r="J11" s="4" t="s">
        <v>412</v>
      </c>
      <c r="K11" s="4" t="s">
        <v>413</v>
      </c>
      <c r="L11" s="4" t="str">
        <f>Cover!$C$8</f>
        <v>Marshanda Kasih Simangunsong</v>
      </c>
      <c r="M11" s="14">
        <v>45083</v>
      </c>
      <c r="N11" s="4" t="s">
        <v>380</v>
      </c>
      <c r="O11" s="14">
        <v>45086</v>
      </c>
      <c r="P11" s="27" t="s">
        <v>442</v>
      </c>
      <c r="Q11" s="4" t="s">
        <v>414</v>
      </c>
    </row>
    <row r="12" spans="1:17" ht="57.6" x14ac:dyDescent="0.3">
      <c r="A12" s="13" t="s">
        <v>331</v>
      </c>
      <c r="B12" s="4" t="s">
        <v>415</v>
      </c>
      <c r="C12" s="4" t="s">
        <v>88</v>
      </c>
      <c r="D12" s="13" t="s">
        <v>325</v>
      </c>
      <c r="E12" s="13" t="s">
        <v>28</v>
      </c>
      <c r="F12" s="13" t="s">
        <v>28</v>
      </c>
      <c r="G12" s="13" t="s">
        <v>375</v>
      </c>
      <c r="H12" s="4" t="s">
        <v>376</v>
      </c>
      <c r="I12" s="4" t="s">
        <v>328</v>
      </c>
      <c r="J12" s="4" t="s">
        <v>417</v>
      </c>
      <c r="K12" s="4" t="s">
        <v>330</v>
      </c>
      <c r="L12" s="4" t="str">
        <f>Cover!$C$8</f>
        <v>Marshanda Kasih Simangunsong</v>
      </c>
      <c r="M12" s="14">
        <v>45083</v>
      </c>
      <c r="N12" s="4" t="s">
        <v>380</v>
      </c>
      <c r="O12" s="14">
        <v>45086</v>
      </c>
      <c r="P12" s="27" t="s">
        <v>443</v>
      </c>
      <c r="Q12" s="4" t="s">
        <v>418</v>
      </c>
    </row>
    <row r="13" spans="1:17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15"/>
      <c r="N13" s="4"/>
      <c r="O13" s="4"/>
      <c r="P13" s="4"/>
      <c r="Q13" s="4"/>
    </row>
    <row r="14" spans="1:17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15"/>
      <c r="N14" s="4"/>
      <c r="O14" s="4"/>
      <c r="P14" s="4"/>
      <c r="Q14" s="4"/>
    </row>
    <row r="15" spans="1:17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5"/>
      <c r="N15" s="4"/>
      <c r="O15" s="4"/>
      <c r="P15" s="4"/>
      <c r="Q15" s="4"/>
    </row>
    <row r="16" spans="1:17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15"/>
      <c r="N16" s="4"/>
      <c r="O16" s="4"/>
      <c r="P16" s="4"/>
      <c r="Q16" s="4"/>
    </row>
    <row r="17" spans="1:17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15"/>
      <c r="N17" s="4"/>
      <c r="O17" s="4"/>
      <c r="P17" s="4"/>
      <c r="Q17" s="4"/>
    </row>
    <row r="18" spans="1:17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15"/>
      <c r="N18" s="4"/>
      <c r="O18" s="4"/>
      <c r="P18" s="4"/>
      <c r="Q18" s="4"/>
    </row>
    <row r="19" spans="1:17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15"/>
      <c r="N19" s="4"/>
      <c r="O19" s="4"/>
      <c r="P19" s="4"/>
      <c r="Q19" s="4"/>
    </row>
    <row r="20" spans="1:17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15"/>
      <c r="N20" s="4"/>
      <c r="O20" s="4"/>
      <c r="P20" s="4"/>
      <c r="Q20" s="4"/>
    </row>
    <row r="21" spans="1:17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15"/>
      <c r="N21" s="4"/>
      <c r="O21" s="4"/>
      <c r="P21" s="4"/>
      <c r="Q21" s="4"/>
    </row>
    <row r="22" spans="1:17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15"/>
      <c r="N22" s="4"/>
      <c r="O22" s="4"/>
      <c r="P22" s="4"/>
      <c r="Q22" s="4"/>
    </row>
    <row r="23" spans="1:17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15"/>
      <c r="N23" s="4"/>
      <c r="O23" s="4"/>
      <c r="P23" s="4"/>
      <c r="Q23" s="4"/>
    </row>
    <row r="24" spans="1:17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15"/>
      <c r="N24" s="4"/>
      <c r="O24" s="4"/>
      <c r="P24" s="4"/>
      <c r="Q24" s="4"/>
    </row>
  </sheetData>
  <autoFilter ref="A4:Q12" xr:uid="{00000000-0009-0000-0000-000003000000}"/>
  <conditionalFormatting sqref="E5:E12">
    <cfRule type="cellIs" dxfId="26" priority="2" operator="equal">
      <formula>"Critical"</formula>
    </cfRule>
    <cfRule type="cellIs" dxfId="25" priority="3" operator="equal">
      <formula>"High"</formula>
    </cfRule>
    <cfRule type="cellIs" dxfId="24" priority="4" operator="equal">
      <formula>"Medium"</formula>
    </cfRule>
    <cfRule type="cellIs" dxfId="23" priority="5" operator="equal">
      <formula>"Low"</formula>
    </cfRule>
  </conditionalFormatting>
  <conditionalFormatting sqref="G5:G12">
    <cfRule type="cellIs" dxfId="22" priority="6" operator="equal">
      <formula>"Open"</formula>
    </cfRule>
    <cfRule type="cellIs" dxfId="21" priority="7" operator="equal">
      <formula>"Reopened"</formula>
    </cfRule>
    <cfRule type="cellIs" dxfId="20" priority="8" operator="equal">
      <formula>"Fixed"</formula>
    </cfRule>
    <cfRule type="cellIs" dxfId="19" priority="9" operator="equal">
      <formula>"In Progress"</formula>
    </cfRule>
    <cfRule type="cellIs" dxfId="18" priority="10" operator="equal">
      <formula>"Closed"</formula>
    </cfRule>
  </conditionalFormatting>
  <dataValidations count="3">
    <dataValidation type="list" allowBlank="1" sqref="E5:E32" xr:uid="{00000000-0002-0000-0300-000000000000}">
      <formula1>"Critical,High,Medium,Low"</formula1>
      <formula2>0</formula2>
    </dataValidation>
    <dataValidation type="list" allowBlank="1" sqref="F5:F32" xr:uid="{00000000-0002-0000-0300-000001000000}">
      <formula1>"High,Medium,Low"</formula1>
      <formula2>0</formula2>
    </dataValidation>
    <dataValidation type="list" allowBlank="1" sqref="G5:G32" xr:uid="{00000000-0002-0000-0300-000002000000}">
      <formula1>"Open,In Progress,Fixed,Closed,Reopened"</formula1>
      <formula2>0</formula2>
    </dataValidation>
  </dataValidations>
  <hyperlinks>
    <hyperlink ref="P5" r:id="rId1" xr:uid="{6C7529A2-70A0-4AF5-884F-7803844355EF}"/>
    <hyperlink ref="P6" r:id="rId2" xr:uid="{5952F084-B80C-4CBC-9714-16C19E0061D2}"/>
    <hyperlink ref="P7" r:id="rId3" xr:uid="{FAD276F9-084E-4F0E-9803-3F51BF252B71}"/>
    <hyperlink ref="P8" r:id="rId4" xr:uid="{FD8DCE03-1B39-4C05-B07C-8A9FFC0E0535}"/>
    <hyperlink ref="P9" r:id="rId5" xr:uid="{43356796-0D1D-4366-BA6F-3AD45BF0AE10}"/>
    <hyperlink ref="P10" r:id="rId6" xr:uid="{B6025FB3-21C4-4DD9-ADD4-018C39A39631}"/>
    <hyperlink ref="P11" r:id="rId7" xr:uid="{93BE2132-9EBE-465B-B43B-DF1E8D2DF50D}"/>
    <hyperlink ref="P12" r:id="rId8" xr:uid="{4B6B079E-08B5-477E-BB29-46BC0FFB9A20}"/>
  </hyperlinks>
  <pageMargins left="0.75" right="0.75" top="1" bottom="1" header="0.511811023622047" footer="0.511811023622047"/>
  <pageSetup scale="34" fitToHeight="0" orientation="landscape" horizontalDpi="300" verticalDpi="300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43"/>
  <sheetViews>
    <sheetView zoomScaleNormal="100" workbookViewId="0">
      <selection activeCell="F24" sqref="F24"/>
    </sheetView>
  </sheetViews>
  <sheetFormatPr defaultColWidth="8.6640625" defaultRowHeight="14.4" x14ac:dyDescent="0.3"/>
  <cols>
    <col min="1" max="1" width="32" customWidth="1"/>
    <col min="2" max="7" width="12" customWidth="1"/>
  </cols>
  <sheetData>
    <row r="1" spans="1:6" ht="17.399999999999999" x14ac:dyDescent="0.3">
      <c r="A1" s="10" t="s">
        <v>419</v>
      </c>
    </row>
    <row r="2" spans="1:6" x14ac:dyDescent="0.3">
      <c r="A2" s="11" t="s">
        <v>420</v>
      </c>
    </row>
    <row r="4" spans="1:6" x14ac:dyDescent="0.3">
      <c r="A4" s="5" t="s">
        <v>421</v>
      </c>
    </row>
    <row r="5" spans="1:6" x14ac:dyDescent="0.3">
      <c r="A5" s="12" t="s">
        <v>49</v>
      </c>
      <c r="B5" s="12" t="s">
        <v>51</v>
      </c>
      <c r="C5" s="12" t="s">
        <v>124</v>
      </c>
      <c r="D5" s="12" t="s">
        <v>133</v>
      </c>
      <c r="E5" s="12" t="s">
        <v>422</v>
      </c>
      <c r="F5" s="12" t="s">
        <v>423</v>
      </c>
    </row>
    <row r="6" spans="1:6" x14ac:dyDescent="0.3">
      <c r="A6" s="16" t="s">
        <v>56</v>
      </c>
      <c r="B6" s="17">
        <f>COUNTIF('Test Case'!$C:$C,A6)</f>
        <v>5</v>
      </c>
      <c r="C6" s="17">
        <f>COUNTIFS('Test Case'!$C:$C,A6,'Test Case'!$L:$L,"Pass")</f>
        <v>3</v>
      </c>
      <c r="D6" s="17">
        <f>COUNTIFS('Test Case'!$C:$C,A6,'Test Case'!$L:$L,"Fail")</f>
        <v>2</v>
      </c>
      <c r="E6" s="17">
        <f t="shared" ref="E6:E17" si="0">B6-C6-D6</f>
        <v>0</v>
      </c>
      <c r="F6" s="18">
        <f t="shared" ref="F6:F18" si="1">IF(B6=0,0,C6/B6)</f>
        <v>0.6</v>
      </c>
    </row>
    <row r="7" spans="1:6" x14ac:dyDescent="0.3">
      <c r="A7" s="16" t="s">
        <v>60</v>
      </c>
      <c r="B7" s="17">
        <f>COUNTIF('Test Case'!$C:$C,A7)</f>
        <v>6</v>
      </c>
      <c r="C7" s="17">
        <f>COUNTIFS('Test Case'!$C:$C,A7,'Test Case'!$L:$L,"Pass")</f>
        <v>6</v>
      </c>
      <c r="D7" s="17">
        <f>COUNTIFS('Test Case'!$C:$C,A7,'Test Case'!$L:$L,"Fail")</f>
        <v>0</v>
      </c>
      <c r="E7" s="17">
        <f t="shared" si="0"/>
        <v>0</v>
      </c>
      <c r="F7" s="18">
        <f t="shared" si="1"/>
        <v>1</v>
      </c>
    </row>
    <row r="8" spans="1:6" x14ac:dyDescent="0.3">
      <c r="A8" s="16" t="s">
        <v>64</v>
      </c>
      <c r="B8" s="17">
        <f>COUNTIF('Test Case'!$C:$C,A8)</f>
        <v>6</v>
      </c>
      <c r="C8" s="17">
        <f>COUNTIFS('Test Case'!$C:$C,A8,'Test Case'!$L:$L,"Pass")</f>
        <v>4</v>
      </c>
      <c r="D8" s="17">
        <f>COUNTIFS('Test Case'!$C:$C,A8,'Test Case'!$L:$L,"Fail")</f>
        <v>2</v>
      </c>
      <c r="E8" s="17">
        <f t="shared" si="0"/>
        <v>0</v>
      </c>
      <c r="F8" s="18">
        <f t="shared" si="1"/>
        <v>0.66666666666666663</v>
      </c>
    </row>
    <row r="9" spans="1:6" x14ac:dyDescent="0.3">
      <c r="A9" s="16" t="s">
        <v>68</v>
      </c>
      <c r="B9" s="17">
        <f>COUNTIF('Test Case'!$C:$C,A9)</f>
        <v>4</v>
      </c>
      <c r="C9" s="17">
        <f>COUNTIFS('Test Case'!$C:$C,A9,'Test Case'!$L:$L,"Pass")</f>
        <v>3</v>
      </c>
      <c r="D9" s="17">
        <f>COUNTIFS('Test Case'!$C:$C,A9,'Test Case'!$L:$L,"Fail")</f>
        <v>1</v>
      </c>
      <c r="E9" s="17">
        <f t="shared" si="0"/>
        <v>0</v>
      </c>
      <c r="F9" s="18">
        <f t="shared" si="1"/>
        <v>0.75</v>
      </c>
    </row>
    <row r="10" spans="1:6" x14ac:dyDescent="0.3">
      <c r="A10" s="16" t="s">
        <v>72</v>
      </c>
      <c r="B10" s="17">
        <f>COUNTIF('Test Case'!$C:$C,A10)</f>
        <v>4</v>
      </c>
      <c r="C10" s="17">
        <f>COUNTIFS('Test Case'!$C:$C,A10,'Test Case'!$L:$L,"Pass")</f>
        <v>3</v>
      </c>
      <c r="D10" s="17">
        <f>COUNTIFS('Test Case'!$C:$C,A10,'Test Case'!$L:$L,"Fail")</f>
        <v>1</v>
      </c>
      <c r="E10" s="17">
        <f t="shared" si="0"/>
        <v>0</v>
      </c>
      <c r="F10" s="18">
        <f t="shared" si="1"/>
        <v>0.75</v>
      </c>
    </row>
    <row r="11" spans="1:6" x14ac:dyDescent="0.3">
      <c r="A11" s="16" t="s">
        <v>76</v>
      </c>
      <c r="B11" s="17">
        <f>COUNTIF('Test Case'!$C:$C,A11)</f>
        <v>4</v>
      </c>
      <c r="C11" s="17">
        <f>COUNTIFS('Test Case'!$C:$C,A11,'Test Case'!$L:$L,"Pass")</f>
        <v>4</v>
      </c>
      <c r="D11" s="17">
        <f>COUNTIFS('Test Case'!$C:$C,A11,'Test Case'!$L:$L,"Fail")</f>
        <v>0</v>
      </c>
      <c r="E11" s="17">
        <f t="shared" si="0"/>
        <v>0</v>
      </c>
      <c r="F11" s="18">
        <f t="shared" si="1"/>
        <v>1</v>
      </c>
    </row>
    <row r="12" spans="1:6" x14ac:dyDescent="0.3">
      <c r="A12" s="16" t="s">
        <v>80</v>
      </c>
      <c r="B12" s="17">
        <f>COUNTIF('Test Case'!$C:$C,A12)</f>
        <v>5</v>
      </c>
      <c r="C12" s="17">
        <f>COUNTIFS('Test Case'!$C:$C,A12,'Test Case'!$L:$L,"Pass")</f>
        <v>4</v>
      </c>
      <c r="D12" s="17">
        <f>COUNTIFS('Test Case'!$C:$C,A12,'Test Case'!$L:$L,"Fail")</f>
        <v>1</v>
      </c>
      <c r="E12" s="17">
        <f t="shared" si="0"/>
        <v>0</v>
      </c>
      <c r="F12" s="18">
        <f t="shared" si="1"/>
        <v>0.8</v>
      </c>
    </row>
    <row r="13" spans="1:6" x14ac:dyDescent="0.3">
      <c r="A13" s="16" t="s">
        <v>84</v>
      </c>
      <c r="B13" s="17">
        <f>COUNTIF('Test Case'!$C:$C,A13)</f>
        <v>3</v>
      </c>
      <c r="C13" s="17">
        <f>COUNTIFS('Test Case'!$C:$C,A13,'Test Case'!$L:$L,"Pass")</f>
        <v>3</v>
      </c>
      <c r="D13" s="17">
        <f>COUNTIFS('Test Case'!$C:$C,A13,'Test Case'!$L:$L,"Fail")</f>
        <v>0</v>
      </c>
      <c r="E13" s="17">
        <f t="shared" si="0"/>
        <v>0</v>
      </c>
      <c r="F13" s="18">
        <f t="shared" si="1"/>
        <v>1</v>
      </c>
    </row>
    <row r="14" spans="1:6" x14ac:dyDescent="0.3">
      <c r="A14" s="16" t="s">
        <v>88</v>
      </c>
      <c r="B14" s="17">
        <f>COUNTIF('Test Case'!$C:$C,A14)</f>
        <v>2</v>
      </c>
      <c r="C14" s="17">
        <f>COUNTIFS('Test Case'!$C:$C,A14,'Test Case'!$L:$L,"Pass")</f>
        <v>1</v>
      </c>
      <c r="D14" s="17">
        <f>COUNTIFS('Test Case'!$C:$C,A14,'Test Case'!$L:$L,"Fail")</f>
        <v>1</v>
      </c>
      <c r="E14" s="17">
        <f t="shared" si="0"/>
        <v>0</v>
      </c>
      <c r="F14" s="18">
        <f t="shared" si="1"/>
        <v>0.5</v>
      </c>
    </row>
    <row r="15" spans="1:6" x14ac:dyDescent="0.3">
      <c r="A15" s="16" t="s">
        <v>92</v>
      </c>
      <c r="B15" s="17">
        <f>COUNTIF('Test Case'!$C:$C,A15)</f>
        <v>1</v>
      </c>
      <c r="C15" s="17">
        <f>COUNTIFS('Test Case'!$C:$C,A15,'Test Case'!$L:$L,"Pass")</f>
        <v>1</v>
      </c>
      <c r="D15" s="17">
        <f>COUNTIFS('Test Case'!$C:$C,A15,'Test Case'!$L:$L,"Fail")</f>
        <v>0</v>
      </c>
      <c r="E15" s="17">
        <f t="shared" si="0"/>
        <v>0</v>
      </c>
      <c r="F15" s="18">
        <f t="shared" si="1"/>
        <v>1</v>
      </c>
    </row>
    <row r="16" spans="1:6" x14ac:dyDescent="0.3">
      <c r="A16" s="16" t="s">
        <v>96</v>
      </c>
      <c r="B16" s="17">
        <f>COUNTIF('Test Case'!$C:$C,A16)</f>
        <v>2</v>
      </c>
      <c r="C16" s="17">
        <f>COUNTIFS('Test Case'!$C:$C,A16,'Test Case'!$L:$L,"Pass")</f>
        <v>2</v>
      </c>
      <c r="D16" s="17">
        <f>COUNTIFS('Test Case'!$C:$C,A16,'Test Case'!$L:$L,"Fail")</f>
        <v>0</v>
      </c>
      <c r="E16" s="17">
        <f t="shared" si="0"/>
        <v>0</v>
      </c>
      <c r="F16" s="18">
        <f t="shared" si="1"/>
        <v>1</v>
      </c>
    </row>
    <row r="17" spans="1:6" x14ac:dyDescent="0.3">
      <c r="A17" s="16" t="s">
        <v>99</v>
      </c>
      <c r="B17" s="17">
        <f>COUNTIF('Test Case'!$C:$C,A17)</f>
        <v>3</v>
      </c>
      <c r="C17" s="17">
        <f>COUNTIFS('Test Case'!$C:$C,A17,'Test Case'!$L:$L,"Pass")</f>
        <v>3</v>
      </c>
      <c r="D17" s="17">
        <f>COUNTIFS('Test Case'!$C:$C,A17,'Test Case'!$L:$L,"Fail")</f>
        <v>0</v>
      </c>
      <c r="E17" s="17">
        <f t="shared" si="0"/>
        <v>0</v>
      </c>
      <c r="F17" s="18">
        <f t="shared" si="1"/>
        <v>1</v>
      </c>
    </row>
    <row r="18" spans="1:6" x14ac:dyDescent="0.3">
      <c r="A18" s="19" t="s">
        <v>424</v>
      </c>
      <c r="B18" s="20">
        <f>SUM(B6:B17)</f>
        <v>45</v>
      </c>
      <c r="C18" s="20">
        <f>SUM(C6:C17)</f>
        <v>37</v>
      </c>
      <c r="D18" s="20">
        <f>SUM(D6:D17)</f>
        <v>8</v>
      </c>
      <c r="E18" s="20">
        <f>SUM(E6:E17)</f>
        <v>0</v>
      </c>
      <c r="F18" s="21">
        <f t="shared" si="1"/>
        <v>0.82222222222222219</v>
      </c>
    </row>
    <row r="21" spans="1:6" x14ac:dyDescent="0.3">
      <c r="A21" s="5" t="s">
        <v>425</v>
      </c>
    </row>
    <row r="22" spans="1:6" ht="26.4" x14ac:dyDescent="0.3">
      <c r="A22" s="12" t="s">
        <v>367</v>
      </c>
      <c r="B22" s="12" t="s">
        <v>426</v>
      </c>
      <c r="C22" s="12" t="s">
        <v>427</v>
      </c>
    </row>
    <row r="23" spans="1:6" x14ac:dyDescent="0.3">
      <c r="A23" s="16" t="s">
        <v>24</v>
      </c>
      <c r="B23" s="17">
        <f>COUNTIF('Bug Report'!$E:$E,A23)</f>
        <v>1</v>
      </c>
      <c r="C23" s="17">
        <f>COUNTIFS('Bug Report'!$E:$E,A23,'Bug Report'!$G:$G,"&lt;&gt;Closed")</f>
        <v>0</v>
      </c>
    </row>
    <row r="24" spans="1:6" x14ac:dyDescent="0.3">
      <c r="A24" s="16" t="s">
        <v>26</v>
      </c>
      <c r="B24" s="17">
        <f>COUNTIF('Bug Report'!$E:$E,A24)</f>
        <v>2</v>
      </c>
      <c r="C24" s="17">
        <f>COUNTIFS('Bug Report'!$E:$E,A24,'Bug Report'!$G:$G,"&lt;&gt;Closed")</f>
        <v>0</v>
      </c>
    </row>
    <row r="25" spans="1:6" x14ac:dyDescent="0.3">
      <c r="A25" s="16" t="s">
        <v>28</v>
      </c>
      <c r="B25" s="17">
        <f>COUNTIF('Bug Report'!$E:$E,A25)</f>
        <v>4</v>
      </c>
      <c r="C25" s="17">
        <f>COUNTIFS('Bug Report'!$E:$E,A25,'Bug Report'!$G:$G,"&lt;&gt;Closed")</f>
        <v>0</v>
      </c>
    </row>
    <row r="26" spans="1:6" x14ac:dyDescent="0.3">
      <c r="A26" s="16" t="s">
        <v>30</v>
      </c>
      <c r="B26" s="17">
        <f>COUNTIF('Bug Report'!$E:$E,A26)</f>
        <v>1</v>
      </c>
      <c r="C26" s="17">
        <f>COUNTIFS('Bug Report'!$E:$E,A26,'Bug Report'!$G:$G,"&lt;&gt;Closed")</f>
        <v>0</v>
      </c>
    </row>
    <row r="27" spans="1:6" x14ac:dyDescent="0.3">
      <c r="A27" s="19" t="s">
        <v>424</v>
      </c>
      <c r="B27" s="20">
        <f>SUM(B23:B26)</f>
        <v>8</v>
      </c>
      <c r="C27" s="20">
        <f>SUM(C23:C26)</f>
        <v>0</v>
      </c>
    </row>
    <row r="30" spans="1:6" x14ac:dyDescent="0.3">
      <c r="A30" s="5" t="s">
        <v>428</v>
      </c>
    </row>
    <row r="31" spans="1:6" x14ac:dyDescent="0.3">
      <c r="A31" s="12" t="s">
        <v>111</v>
      </c>
      <c r="B31" s="12" t="s">
        <v>426</v>
      </c>
    </row>
    <row r="32" spans="1:6" x14ac:dyDescent="0.3">
      <c r="A32" s="16" t="s">
        <v>388</v>
      </c>
      <c r="B32" s="17">
        <f>COUNTIF('Bug Report'!$G:$G,A32)</f>
        <v>0</v>
      </c>
    </row>
    <row r="33" spans="1:2" x14ac:dyDescent="0.3">
      <c r="A33" s="16" t="s">
        <v>429</v>
      </c>
      <c r="B33" s="17">
        <f>COUNTIF('Bug Report'!$G:$G,A33)</f>
        <v>0</v>
      </c>
    </row>
    <row r="34" spans="1:2" x14ac:dyDescent="0.3">
      <c r="A34" s="16" t="s">
        <v>416</v>
      </c>
      <c r="B34" s="17">
        <f>COUNTIF('Bug Report'!$G:$G,A34)</f>
        <v>0</v>
      </c>
    </row>
    <row r="35" spans="1:2" x14ac:dyDescent="0.3">
      <c r="A35" s="16" t="s">
        <v>405</v>
      </c>
      <c r="B35" s="17">
        <f>COUNTIF('Bug Report'!$G:$G,A35)</f>
        <v>0</v>
      </c>
    </row>
    <row r="36" spans="1:2" x14ac:dyDescent="0.3">
      <c r="A36" s="16" t="s">
        <v>375</v>
      </c>
      <c r="B36" s="17">
        <f>COUNTIF('Bug Report'!$G:$G,A36)</f>
        <v>8</v>
      </c>
    </row>
    <row r="38" spans="1:2" x14ac:dyDescent="0.3">
      <c r="A38" s="5" t="s">
        <v>430</v>
      </c>
    </row>
    <row r="39" spans="1:2" x14ac:dyDescent="0.3">
      <c r="A39" s="16" t="s">
        <v>431</v>
      </c>
      <c r="B39" s="22">
        <f>B18</f>
        <v>45</v>
      </c>
    </row>
    <row r="40" spans="1:2" x14ac:dyDescent="0.3">
      <c r="A40" s="16" t="s">
        <v>423</v>
      </c>
      <c r="B40" s="23">
        <f>F18</f>
        <v>0.82222222222222219</v>
      </c>
    </row>
    <row r="41" spans="1:2" x14ac:dyDescent="0.3">
      <c r="A41" s="16" t="s">
        <v>432</v>
      </c>
      <c r="B41" s="22">
        <f>B27</f>
        <v>8</v>
      </c>
    </row>
    <row r="42" spans="1:2" x14ac:dyDescent="0.3">
      <c r="A42" s="16" t="s">
        <v>433</v>
      </c>
      <c r="B42" s="23">
        <f>IF(B27=0,0,B36/B27)</f>
        <v>1</v>
      </c>
    </row>
    <row r="43" spans="1:2" x14ac:dyDescent="0.3">
      <c r="A43" s="16" t="s">
        <v>434</v>
      </c>
      <c r="B43" s="22">
        <f>C23+C24</f>
        <v>0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Cover</vt:lpstr>
      <vt:lpstr>Test Scenario</vt:lpstr>
      <vt:lpstr>Test Case</vt:lpstr>
      <vt:lpstr>Bug Report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marshanda</dc:creator>
  <dc:description/>
  <cp:lastModifiedBy>User</cp:lastModifiedBy>
  <cp:revision>1</cp:revision>
  <cp:lastPrinted>2026-10-03T14:56:22Z</cp:lastPrinted>
  <dcterms:created xsi:type="dcterms:W3CDTF">2026-10-03T13:53:12Z</dcterms:created>
  <dcterms:modified xsi:type="dcterms:W3CDTF">2026-10-03T14:57:30Z</dcterms:modified>
  <dc:language>en-US</dc:language>
</cp:coreProperties>
</file>